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attern Drivers" sheetId="2" r:id="rId6"/>
    <sheet state="visible" name="Controllers" sheetId="3" r:id="rId7"/>
    <sheet state="visible" name="Pixels" sheetId="4" r:id="rId8"/>
    <sheet state="visible" name="Pixel ICs" sheetId="5" r:id="rId9"/>
    <sheet state="visible" name="Pixel Decoders" sheetId="6" r:id="rId10"/>
    <sheet state="visible" name="Level Converters" sheetId="7" r:id="rId11"/>
    <sheet state="visible" name="Adapters" sheetId="8" r:id="rId12"/>
    <sheet state="visible" name="Drive Libraries" sheetId="9" r:id="rId13"/>
    <sheet state="visible" name="DIY MicroBoards" sheetId="10" r:id="rId14"/>
    <sheet state="visible" name="Connectors" sheetId="11" r:id="rId15"/>
    <sheet state="visible" name="Diffusive Materials" sheetId="12" r:id="rId16"/>
    <sheet state="visible" name=" Commercial Pixel Systems" sheetId="13" r:id="rId17"/>
  </sheets>
  <definedNames>
    <definedName hidden="1" localSheetId="2" name="_xlnm._FilterDatabase">Controllers!$F$1:$F$133</definedName>
    <definedName hidden="1" localSheetId="2" name="Z_1E800208_9010_4FD4_B323_22E2D2F2953A_.wvu.FilterData">Controllers!$A$2:$V$101</definedName>
    <definedName hidden="1" localSheetId="2" name="Z_96F1598F_5F2F_4304_83A0_FB0FCC97E81A_.wvu.FilterData">Controllers!$A$2:$V$132</definedName>
    <definedName hidden="1" localSheetId="1" name="Z_A3F6E28C_A007_4254_B957_4C0D19A040E1_.wvu.FilterData">'Pattern Drivers'!$A$1:$Y$43</definedName>
    <definedName hidden="1" localSheetId="2" name="Z_A3F6E28C_A007_4254_B957_4C0D19A040E1_.wvu.FilterData">Controllers!$A$3:$V$100</definedName>
    <definedName hidden="1" localSheetId="1" name="Z_3F717826_385A_4CF3_ADBA_6077E9FF96EF_.wvu.FilterData">'Pattern Drivers'!$A$1:$Y$43</definedName>
    <definedName hidden="1" localSheetId="1" name="Z_C7462378_F9DE_4871_911C_33967FC0C576_.wvu.FilterData">'Pattern Drivers'!$A$1:$Y$43</definedName>
    <definedName hidden="1" localSheetId="2" name="Z_C7462378_F9DE_4871_911C_33967FC0C576_.wvu.FilterData">Controllers!$A$2:$V$95</definedName>
    <definedName hidden="1" localSheetId="1" name="Z_580044AE_5DD0_4303_8543_37BAAB861665_.wvu.FilterData">'Pattern Drivers'!$A$1:$Y$37</definedName>
    <definedName hidden="1" localSheetId="2" name="Z_580044AE_5DD0_4303_8543_37BAAB861665_.wvu.FilterData">Controllers!$A$3:$V$98</definedName>
  </definedNames>
  <calcPr/>
  <customWorkbookViews>
    <customWorkbookView activeSheetId="0" maximized="1" windowHeight="0" windowWidth="0" guid="{1E800208-9010-4FD4-B323-22E2D2F2953A}" name="Filter 4"/>
    <customWorkbookView activeSheetId="0" maximized="1" windowHeight="0" windowWidth="0" guid="{580044AE-5DD0-4303-8543-37BAAB861665}" name="Filter 2"/>
    <customWorkbookView activeSheetId="0" maximized="1" windowHeight="0" windowWidth="0" guid="{A3F6E28C-A007-4254-B957-4C0D19A040E1}" name="Filter 3"/>
    <customWorkbookView activeSheetId="0" maximized="1" windowHeight="0" windowWidth="0" guid="{C7462378-F9DE-4871-911C-33967FC0C576}" name="Filter 1"/>
    <customWorkbookView activeSheetId="0" maximized="1" windowHeight="0" windowWidth="0" guid="{96F1598F-5F2F-4304-83A0-FB0FCC97E81A}" name="Copy of Filter 4"/>
    <customWorkbookView activeSheetId="0" maximized="1" windowHeight="0" windowWidth="0" guid="{3F717826-385A-4CF3-ADBA-6077E9FF96EF}" name="E.131 Outpu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tc={2adbc342-0cf4-4e16-a561-ebea7dda8a0e}</author>
    <author>tc={2f0705ba-2753-4ee0-b66d-610ff7884eea}</author>
    <author>tc={2faf81fd-6eb3-46bd-9426-7eb20f4f5938}</author>
    <author>tc={3804f315-c5e4-460c-b23e-25911570cf74}</author>
    <author>tc={45ee1db3-734d-404e-8e2d-775cbf8a4629}</author>
    <author>tc={5af398fe-5646-4f11-908b-ed49cc9b5d15}</author>
    <author>tc={64119881-31c6-49de-9468-5366c411a5da}</author>
    <author>tc={6577db79-2667-434c-854c-95102d7de18a}</author>
    <author>tc={9019a217-571d-4105-9813-90c0f59ccfc5}</author>
    <author>tc={a4d28937-bd63-40fc-8de9-c93d19504668}</author>
    <author>tc={ab63a65f-802a-4287-8110-d76d78a8f012}</author>
    <author>tc={b49d9ecf-3a35-44b7-9118-0349e0999104}</author>
    <author>tc={c6ea69c7-d70f-4fe3-b3ac-e65c29a5fcc2}</author>
    <author>tc={c7fb2989-3a7c-4d00-a4c2-1dde978268d2}</author>
    <author>tc={ddbd3dbc-ee8d-4d8e-ad7f-97eea5270c4b}</author>
    <author>tc={e8e172df-38be-4c97-8bd8-97bbad43431c}</author>
    <author>tc={fc36c971-a52f-4d77-80c8-822e34cae8be}</author>
    <author>tc={ffcf1990-91b8-48dd-8bf1-c9fb0a30b5a0}</author>
  </authors>
  <commentList>
    <comment authorId="0" ref="B28">
      <text>
        <t xml:space="preserve">If adding something that you think is an adapter, make sure it's not already on the "controller" list.</t>
      </text>
    </comment>
    <comment authorId="0" ref="A47">
      <text>
        <t xml:space="preserve">It's a very handy feature of Google Sheets!</t>
      </text>
    </comment>
    <comment authorId="0" ref="A52">
      <text>
        <t xml:space="preserve">Feels safer to add something on this sooner than later</t>
      </text>
    </comment>
    <comment authorId="1" xr:uid="{2adbc342-0cf4-4e16-a561-ebea7dda8a0e}" ref="A1">
      <text>
        <t xml:space="preserve">[Threaded comment]
 Your version of Excel allows you to read this threaded comment; however, any edits to it will get removed if the file is opened in a newer version of Excel. Learn more: https://go.microsoft.com/fwlink/?linkid=870924
Comment:
	Mebbe worth adding more of index on Readme tab, not obvious that there is more tabs available by scrolling
</t>
      </text>
    </comment>
    <comment authorId="2" xr:uid="{2f0705ba-2753-4ee0-b66d-610ff7884eea}" ref="A1">
      <text>
        <t xml:space="preserve">[Threaded comment]
 Your version of Excel allows you to read this threaded comment; however, any edits to it will get removed if the file is opened in a newer version of Excel. Learn more: https://go.microsoft.com/fwlink/?linkid=870924
Comment:
	Page not found
</t>
      </text>
    </comment>
    <comment authorId="3" xr:uid="{2faf81fd-6eb3-46bd-9426-7eb20f4f5938}" ref="A1">
      <text>
        <t xml:space="preserve">[Threaded comment]
 Your version of Excel allows you to read this threaded comment; however, any edits to it will get removed if the file is opened in a newer version of Excel. Learn more: https://go.microsoft.com/fwlink/?linkid=870924
Comment:
	Should this column be renamed "Status"?
</t>
      </text>
    </comment>
    <comment authorId="4" xr:uid="{3804f315-c5e4-460c-b23e-25911570cf74}" ref="A50">
      <text>
        <t xml:space="preserve">[Threaded comment]
 Your version of Excel allows you to read this threaded comment; however, any edits to it will get removed if the file is opened in a newer version of Excel. Learn more: https://go.microsoft.com/fwlink/?linkid=870924
Comment:
	We can use this method to work through issues and eventually "resolve" them! :D
</t>
      </text>
    </comment>
    <comment authorId="5" xr:uid="{45ee1db3-734d-404e-8e2d-775cbf8a4629}" ref="A1">
      <text>
        <t xml:space="preserve">[Threaded comment]
 Your version of Excel allows you to read this threaded comment; however, any edits to it will get removed if the file is opened in a newer version of Excel. Learn more: https://go.microsoft.com/fwlink/?linkid=870924
Comment:
	What is this and why/how did i get added to this?
</t>
      </text>
    </comment>
    <comment authorId="6" xr:uid="{5af398fe-5646-4f11-908b-ed49cc9b5d15}" ref="A1">
      <text>
        <t xml:space="preserve">[Threaded comment]
 Your version of Excel allows you to read this threaded comment; however, any edits to it will get removed if the file is opened in a newer version of Excel. Learn more: https://go.microsoft.com/fwlink/?linkid=870924
Comment:
	I'm trying to add a column to distinguish general purpose microcontrollers from pixel controllers. Theoretically, basically any microprocessor board could be listed here. We've got Teensy (and a couple others) for instance. Other "controllers" here require special host side software to actually make them work. What makes sense here?
</t>
      </text>
    </comment>
    <comment authorId="7" xr:uid="{64119881-31c6-49de-9468-5366c411a5da}" ref="A22">
      <text>
        <t xml:space="preserve">[Threaded comment]
 Your version of Excel allows you to read this threaded comment; however, any edits to it will get removed if the file is opened in a newer version of Excel. Learn more: https://go.microsoft.com/fwlink/?linkid=870924
Comment:
	maybe just call it "Software"?
Reply:
	I wanted something a little more specific than that. We have some other categories that could be under "software".
</t>
      </text>
    </comment>
    <comment authorId="8" xr:uid="{6577db79-2667-434c-854c-95102d7de18a}" ref="A1">
      <text>
        <t xml:space="preserve">[Threaded comment]
 Your version of Excel allows you to read this threaded comment; however, any edits to it will get removed if the file is opened in a newer version of Excel. Learn more: https://go.microsoft.com/fwlink/?linkid=870924
Comment:
	Guess from google trends
</t>
      </text>
    </comment>
    <comment authorId="9" xr:uid="{9019a217-571d-4105-9813-90c0f59ccfc5}" ref="B6">
      <text>
        <t xml:space="preserve">[Threaded comment]
 Your version of Excel allows you to read this threaded comment; however, any edits to it will get removed if the file is opened in a newer version of Excel. Learn more: https://go.microsoft.com/fwlink/?linkid=870924
Comment:
	Should
</t>
      </text>
    </comment>
    <comment authorId="10" xr:uid="{a4d28937-bd63-40fc-8de9-c93d19504668}" ref="A1">
      <text>
        <t xml:space="preserve">[Threaded comment]
 Your version of Excel allows you to read this threaded comment; however, any edits to it will get removed if the file is opened in a newer version of Excel. Learn more: https://go.microsoft.com/fwlink/?linkid=870924
Comment:
	@cinderblock63@gmail.com looks like a bad edit on controllers tab, not sure its a filter this time
Assigned to cinderblock63@gmail.com
Reply:
	Hmmm. I'm not seeing what you're referring to. What am I missing?
Reply:
	It looks like it was a weird filter on the "Standalone" column
Reply:
	Thanks Cameron, struggling to understand the filters .
Any preference on image hosting sites?
Reply:
	Yeah, the filters are a slight problem here. They're shared between all people viewing. I don't see how I could disable filters or make them "per-user".
I don't have a strong preference. Something establish that it's going away would be nice. Eventually it would be awesome to actually build a site to host all of this instead of relying on Sheets.
</t>
      </text>
    </comment>
    <comment authorId="11" xr:uid="{ab63a65f-802a-4287-8110-d76d78a8f012}" ref="A1">
      <text>
        <t xml:space="preserve">[Threaded comment]
 Your version of Excel allows you to read this threaded comment; however, any edits to it will get removed if the file is opened in a newer version of Excel. Learn more: https://go.microsoft.com/fwlink/?linkid=870924
Comment:
	Anyone got a suggestion for what to call this new category? Protocol Decoders? Pixel Emulators? Looking for a name that isn't ambiguous.
</t>
      </text>
    </comment>
    <comment authorId="12" xr:uid="{b49d9ecf-3a35-44b7-9118-0349e0999104}" ref="A15">
      <text>
        <t xml:space="preserve">[Threaded comment]
 Your version of Excel allows you to read this threaded comment; however, any edits to it will get removed if the file is opened in a newer version of Excel. Learn more: https://go.microsoft.com/fwlink/?linkid=870924
Comment:
	edittable -&gt; editable
Reply:
	Also ironic that the "This document is editable" text is on a sheet that isn't editable :-)
Reply:
	Also while I'm here, this document is fantastic!  Thanks for putting it together.
Reply:
	Ha! Nice catch. Thanks!
</t>
      </text>
    </comment>
    <comment authorId="13" xr:uid="{c6ea69c7-d70f-4fe3-b3ac-e65c29a5fcc2}" ref="A37">
      <text>
        <t xml:space="preserve">[Threaded comment]
 Your version of Excel allows you to read this threaded comment; however, any edits to it will get removed if the file is opened in a newer version of Excel. Learn more: https://go.microsoft.com/fwlink/?linkid=870924
Comment:
	could we organise some sort of drive storage of the images linked in the lines ? 
some are not accessible due to world zone or outdated
Reply:
	Good point. I don't have a preference. I'd be fine with this. Something like imgbb should work fine, no?
Reply:
	yes whatever the platform really. as long it is not website /manufacturer related it is fine. 
If people can also upload it and edit it would be a plus ;) 
awesome ressource already btw !
Reply:
	Why is mfg related a problem?
Reply:
	cause some website went offline/deleted or areas where the pics were moved so links are not accessibles sometimes
Reply:
	Gotcha... yeah. double edged sword. But I tend to agree, it should be our own host.
</t>
      </text>
    </comment>
    <comment authorId="14" xr:uid="{c7fb2989-3a7c-4d00-a4c2-1dde978268d2}" ref="A14">
      <text>
        <t xml:space="preserve">[Threaded comment]
 Your version of Excel allows you to read this threaded comment; however, any edits to it will get removed if the file is opened in a newer version of Excel. Learn more: https://go.microsoft.com/fwlink/?linkid=870924
Comment:
	Spelling
</t>
      </text>
    </comment>
    <comment authorId="15" xr:uid="{ddbd3dbc-ee8d-4d8e-ad7f-97eea5270c4b}" ref="A16">
      <text>
        <t xml:space="preserve">[Threaded comment]
 Your version of Excel allows you to read this threaded comment; however, any edits to it will get removed if the file is opened in a newer version of Excel. Learn more: https://go.microsoft.com/fwlink/?linkid=870924
Comment:
	Apparently I accidentally locked the other tabs from editing the other day. The lock has been removed. Thank you to those that reached out to me.
</t>
      </text>
    </comment>
    <comment authorId="16" xr:uid="{e8e172df-38be-4c97-8bd8-97bbad43431c}" ref="A1">
      <text>
        <t xml:space="preserve">[Threaded comment]
 Your version of Excel allows you to read this threaded comment; however, any edits to it will get removed if the file is opened in a newer version of Excel. Learn more: https://go.microsoft.com/fwlink/?linkid=870924
Comment:
	failover wire allows a pixel to fail and the data signal to continue down the chain
Reply:
	See "Backup Data Line" column
</t>
      </text>
    </comment>
    <comment authorId="17" xr:uid="{fc36c971-a52f-4d77-80c8-822e34cae8be}" ref="A1">
      <text>
        <t xml:space="preserve">[Threaded comment]
 Your version of Excel allows you to read this threaded comment; however, any edits to it will get removed if the file is opened in a newer version of Excel. Learn more: https://go.microsoft.com/fwlink/?linkid=870924
Comment:
	What does this mean?  Someone define this with a note or something
Reply:
	Good question. I added this thinking about how LX Studio is a full featured programming language that allows you to have literally full control over everything. While it helps you do the math, you can do literally anything you want. For instance, non-standard color spaces or having weird custom inputs and outputs (this is how we encoded motor commands into DMX for RadiaLumia).
I see that because this column was poorly defined, it's been interpreted differently.
I think it's important to distinguish between these feature sets of these drivers. For instance, the simplest "drivers" might only have a few canned patterns. Slightly more complicated ones might be able to take audio in, but only allow you to change outputs based on certain pre-programmed/pre-provided functions.
I'm not intimately familiar with what all is available these days. If you'd like to take charge on fixing/making a new column to convey this information, I'm happy to support it however I can.
If we want to just delete this confusing column, that's fine by me too.
Reply:
	no, I think it's a good differentiator, however I think that it's going to be up to the individual's interpretation.  Like "control level" is def a gradiant scale (with a straight up programming language or Touch Designer on one end, and something like Phillips Hue on the other).  You've got a lot in the middle, like Resolume and Madrix, which I would have a hard time considering "Full" but are def not basic either.  Maybe a 1 to 10 scale?  Again tho, seems like it will be very much the interpretation of the user
Reply:
	Yeah. I'm not sure how best to "categorize" the types. A 0-10 level could work but seems very subjective. Maybe we could try making up a few categories of our own? There will still probably be some level of subjectivity but, we can try to not? Give each of these some attempt at a definition.
Maybe:
Trivial - Pre programmed routines, maybe with a toggle.
Basic - Hue lights-ish level of control
Mapping - Pixel mapping, simple to complex. Pre-made transforms. Limits on programming API (like reading from arbitrary device drivers)
Complete - Full unlimited programmatic control
Reply:
	I'm not sure if "audio" based drivers need a special category.
Same for ones that allow inputs from GPIO/serial/ArtNet etc.
</t>
      </text>
    </comment>
    <comment authorId="18" xr:uid="{ffcf1990-91b8-48dd-8bf1-c9fb0a30b5a0}" ref="A1">
      <text>
        <t xml:space="preserve">[Threaded comment]
 Your version of Excel allows you to read this threaded comment; however, any edits to it will get removed if the file is opened in a newer version of Excel. Learn more: https://go.microsoft.com/fwlink/?linkid=870924
Comment:
	Can we fill this column out? Does it make sense?
Reply:
	dosen`t make sense RGB white be luckly to get over 70, evenwith white touching 80 is probably a  challenge.
Reply:
	Yeah, that's what I was worried about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tc={16283b41-b3f2-4589-b19b-4bdd13795735}</author>
    <author>tc={286bd9ce-5ed5-48d1-9f24-f93020051248}</author>
    <author>tc={574fe080-5971-4f3a-af67-63f392168d74}</author>
    <author>tc={68363658-e37e-43bf-ae4a-2e9093af3296}</author>
    <author>tc={7bb8e48b-ab8d-4ac8-8a3a-2b702302ade2}</author>
    <author>tc={9099cf5c-6267-499d-9d44-bf8a96ae3725}</author>
    <author>tc={92cede6f-e01e-4fef-9f86-8808f85244e6}</author>
    <author>tc={a60c78c2-e82c-4bd6-ae48-4053246132eb}</author>
  </authors>
  <commentList>
    <comment authorId="0" ref="C1">
      <text>
        <t xml:space="preserve">Please list USD price for entry level. Use online unit conversion if needed.</t>
      </text>
    </comment>
    <comment authorId="0" ref="E1">
      <text>
        <t xml:space="preserve">Can this Generate Patterns "Live" (on the fly based on arbitrary inputs)?</t>
      </text>
    </comment>
    <comment authorId="0" ref="F1">
      <text>
        <t xml:space="preserve">Can this software be used to develop light patterns offline/while disconnected from actual lights?</t>
      </text>
    </comment>
    <comment authorId="0" ref="G1">
      <text>
        <t xml:space="preserve">Can this software be used to visualize light patterns offline/while disconnected from actual lights?</t>
      </text>
    </comment>
    <comment authorId="0" ref="N1">
      <text>
        <t xml:space="preserve">serial port to micro e.g. Arduino, etc.</t>
      </text>
    </comment>
    <comment authorId="0" ref="Q1">
      <text>
        <t xml:space="preserve">Can you write code (in any Turing complete language) to control inputs &amp; outputs</t>
      </text>
    </comment>
    <comment authorId="0" ref="U1">
      <text>
        <t xml:space="preserve">What "controllers" this software is specifically designed to work with, if any</t>
      </text>
    </comment>
    <comment authorId="0" ref="C15">
      <text>
        <t xml:space="preserve">$200 - 
$ 500 - 
$2200 -</t>
      </text>
    </comment>
    <comment authorId="0" ref="C16">
      <text>
        <t xml:space="preserve">Limited Beta</t>
      </text>
    </comment>
    <comment authorId="0" ref="Y18">
      <text>
        <t xml:space="preserve">3rd Party mirror since original is down</t>
      </text>
    </comment>
    <comment authorId="0" ref="C19">
      <text>
        <t xml:space="preserve">in-app purchases for various feature sets ($9.99 - $209.99)</t>
      </text>
    </comment>
    <comment authorId="0" ref="C23">
      <text>
        <t xml:space="preserve">RaspPi build-&gt; 15 euro donation</t>
      </text>
    </comment>
    <comment authorId="0" ref="C28">
      <text>
        <t xml:space="preserve">Free for small projects. For larger commercial projects, license required.</t>
      </text>
    </comment>
    <comment authorId="0" ref="C30">
      <text>
        <t xml:space="preserve">$330 (and up); free limited demo(no data out), dongles priced by node count</t>
      </text>
    </comment>
    <comment authorId="0" ref="C34">
      <text>
        <t xml:space="preserve">The pattern driver is free with PixelBlaze HW, which is $39</t>
      </text>
    </comment>
    <comment authorId="0" ref="F34">
      <text>
        <t xml:space="preserve">Can develop patterns using the small Pixelblaze board disconnected from LEDs (Web UI includes 2D/3D visualizer)</t>
      </text>
    </comment>
    <comment authorId="0" ref="S34">
      <text>
        <t xml:space="preserve">Analog to Digital Converter
Example uses:
 - audio
 - accelerometer
 - light</t>
      </text>
    </comment>
    <comment authorId="0" ref="C35">
      <text>
        <t xml:space="preserve">Monthly</t>
      </text>
    </comment>
    <comment authorId="0" ref="C36">
      <text>
        <t xml:space="preserve">RaspPi build-&gt; 15 euro donation</t>
      </text>
    </comment>
    <comment authorId="0" ref="M36">
      <text>
        <t xml:space="preserve">Only on RaspberryPi version
Also SPI</t>
      </text>
    </comment>
    <comment authorId="0" ref="N36">
      <text>
        <t xml:space="preserve">Only on RaspberryPi version
Also SPI</t>
      </text>
    </comment>
    <comment authorId="0" ref="C37">
      <text>
        <t xml:space="preserve">€299 - Avenue
€799 - Arena</t>
      </text>
    </comment>
    <comment authorId="0" ref="C38">
      <text>
        <t xml:space="preserve">free for basic SD output, generally very expensive as you move on up in res</t>
      </text>
    </comment>
    <comment authorId="0" ref="C39">
      <text>
        <t xml:space="preserve">Non-commercial: free
Educational (student): $300
Commercial: $600
Pro: $2200</t>
      </text>
    </comment>
    <comment authorId="0" ref="J39">
      <text>
        <t xml:space="preserve">USB DMX Output limited to EntTec "DMX USB PRO" devices only (not the Open DMX USB)</t>
      </text>
    </comment>
    <comment authorId="0" ref="M39">
      <text>
        <t xml:space="preserve">With a microcontroller or other device controlled via TCP/UDP or USB Serial</t>
      </text>
    </comment>
    <comment authorId="1" xr:uid="{16283b41-b3f2-4589-b19b-4bdd13795735}" ref="C20">
      <text>
        <t xml:space="preserve">[Threaded comment]
 Your version of Excel allows you to read this threaded comment; however, any edits to it will get removed if the file is opened in a newer version of Excel. Learn more: https://go.microsoft.com/fwlink/?linkid=870924
Comment:
	ArtNet license pricing - https://www.ledstripstudio.com/lssartnet/?
Free for LSS controllers - Lifetime and 1year for ArtNet
</t>
      </text>
    </comment>
    <comment authorId="2" xr:uid="{286bd9ce-5ed5-48d1-9f24-f93020051248}" ref="A24">
      <text>
        <t xml:space="preserve">[Threaded comment]
 Your version of Excel allows you to read this threaded comment; however, any edits to it will get removed if the file is opened in a newer version of Excel. Learn more: https://go.microsoft.com/fwlink/?linkid=870924
Comment:
	I believe RocketLife is not available any more - should it be removed?
Reply:
	I don't think anything should be removed. Maybe italic? Maybe also a discontinued date?
Reply:
	Sounds good to me.
Marked as resolved
</t>
      </text>
    </comment>
    <comment authorId="3" xr:uid="{574fe080-5971-4f3a-af67-63f392168d74}" ref="A26">
      <text>
        <t xml:space="preserve">[Threaded comment]
 Your version of Excel allows you to read this threaded comment; however, any edits to it will get removed if the file is opened in a newer version of Excel. Learn more: https://go.microsoft.com/fwlink/?linkid=870924
Comment:
	2023-09-17: Website not reachable
Reply:
	discontinued see status column
</t>
      </text>
    </comment>
    <comment authorId="4" xr:uid="{68363658-e37e-43bf-ae4a-2e9093af3296}" ref="A36">
      <text>
        <t xml:space="preserve">[Threaded comment]
 Your version of Excel allows you to read this threaded comment; however, any edits to it will get removed if the file is opened in a newer version of Excel. Learn more: https://go.microsoft.com/fwlink/?linkid=870924
Comment:
	@massimocallegari1979@gmail.com can you please check this line to make sure it's accurate?
Assigned to massimocallegari1979@gmail.com
</t>
      </text>
    </comment>
    <comment authorId="5" xr:uid="{7bb8e48b-ab8d-4ac8-8a3a-2b702302ade2}" ref="E1">
      <text>
        <t xml:space="preserve">[Threaded comment]
 Your version of Excel allows you to read this threaded comment; however, any edits to it will get removed if the file is opened in a newer version of Excel. Learn more: https://go.microsoft.com/fwlink/?linkid=870924
Comment:
	Do these columns make sense?
</t>
      </text>
    </comment>
    <comment authorId="6" xr:uid="{9099cf5c-6267-499d-9d44-bf8a96ae3725}" ref="A24">
      <text>
        <t xml:space="preserve">[Threaded comment]
 Your version of Excel allows you to read this threaded comment; however, any edits to it will get removed if the file is opened in a newer version of Excel. Learn more: https://go.microsoft.com/fwlink/?linkid=870924
Comment:
	2023-09-17: Website not reachable
Reply:
	discontinued see status column
Marked as resolved
</t>
      </text>
    </comment>
    <comment authorId="7" xr:uid="{92cede6f-e01e-4fef-9f86-8808f85244e6}" ref="Y24">
      <text>
        <t xml:space="preserve">[Threaded comment]
 Your version of Excel allows you to read this threaded comment; however, any edits to it will get removed if the file is opened in a newer version of Excel. Learn more: https://go.microsoft.com/fwlink/?linkid=870924
Comment:
	@cinderblock63@gmail.com Thoughts?
Reply:
	I don't like this. We should add a column instead of reusing an old on. Maybe an "availability" column? Maybe towards the left?
Reply:
	I will revert. I find no value in active, dead links but don't care enough either way.  You can expand the columns so we can track all not-available options.
</t>
      </text>
    </comment>
    <comment authorId="8" xr:uid="{a60c78c2-e82c-4bd6-ae48-4053246132eb}" ref="C1">
      <text>
        <t xml:space="preserve">[Threaded comment]
 Your version of Excel allows you to read this threaded comment; however, any edits to it will get removed if the file is opened in a newer version of Excel. Learn more: https://go.microsoft.com/fwlink/?linkid=870924
Comment:
	Looks like this column isn't working very well. Most products have different free/paid tiers with vastly different limitations.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tc={0ef799da-afef-407d-9601-97df6cbb104f}</author>
    <author>tc={266a9cc4-dad8-47c0-be86-930a7ea7839e}</author>
    <author>tc={290b984e-e819-4d71-bca8-d8e5f0e68acd}</author>
    <author>tc={3f4344bd-0c0b-45cd-b31b-50864cfc8667}</author>
    <author>tc={56766ab1-d03b-4f49-8071-10a955c17f0f}</author>
    <author>tc={6100494c-83d5-47b7-bb0d-2f5fabef0e81}</author>
    <author>tc={6d149c2f-eabb-4032-b488-e025977c5559}</author>
    <author>tc={7962adff-899f-4a80-8261-686e88d5ca68}</author>
    <author>tc={a0e7ee5c-f33f-4655-8a67-535cd9cf46a0}</author>
    <author>tc={a52c0981-4d62-419d-881f-35774d5dc5ab}</author>
    <author>tc={d16492ee-f519-4779-83af-c514fa52d0fd}</author>
    <author>tc={dd19c414-3425-4a3b-9f9a-069338792558}</author>
    <author>tc={df326e53-20a3-4113-98bf-85427f82691b}</author>
    <author>tc={fb330e57-0f13-45dd-a33b-b9d2305c0b0b}</author>
  </authors>
  <commentList>
    <comment authorId="0" ref="C1">
      <text>
        <t xml:space="preserve">Maximum number of pixels one Control can handle. If also supports RGBW, use RGB count. Use a "note" on this cell (*not* the "Notes" column) to show maximum for RGBW</t>
      </text>
    </comment>
    <comment authorId="0" ref="D1">
      <text>
        <t xml:space="preserve">Price of baseline version
Please use USD or Google's built-in currency conversion.
For example, £1000 should be entered as:
=1000*GOOGLEFINANCE("CURRENCY:GBPUSD")</t>
      </text>
    </comment>
    <comment authorId="0" ref="E1">
      <text>
        <t xml:space="preserve">WS281x 1-wire channels, if the controller has a hard or suggested limit</t>
      </text>
    </comment>
    <comment authorId="0" ref="F1">
      <text>
        <t xml:space="preserve">How does this product get patterns?</t>
      </text>
    </comment>
    <comment authorId="0" ref="H1">
      <text>
        <t xml:space="preserve">Can this Controller generate lighting outputs without external inputs
</t>
      </text>
    </comment>
    <comment authorId="0" ref="I1">
      <text>
        <t xml:space="preserve">If the product supports single wire vs double wire protocols.
Async: WS2812 style data (single)
Clocked: APA102 style data (double)</t>
      </text>
    </comment>
    <comment authorId="0" ref="J1">
      <text>
        <t xml:space="preserve">If string shares power with controller, what is the maximum voltage the controller can go to?</t>
      </text>
    </comment>
    <comment authorId="0" ref="K1">
      <text>
        <t xml:space="preserve">Maximum allowable continuous Current through all outputs on the board, if supported</t>
      </text>
    </comment>
    <comment authorId="0" ref="L1">
      <text>
        <t xml:space="preserve">Are the outputs from an output buffer driver or direct from CPU?</t>
      </text>
    </comment>
    <comment authorId="0" ref="N1">
      <text>
        <t xml:space="preserve">Single or Clock means output pins can be configured as one or the other.
Single and Clock means dedicated Clock outputs that cannot be used as general outputs</t>
      </text>
    </comment>
    <comment authorId="0" ref="P1">
      <text>
        <t xml:space="preserve">Does this controller support any additional outputs for possibly controlling things that aren't addressable pixels?</t>
      </text>
    </comment>
    <comment authorId="0" ref="Q1">
      <text>
        <t xml:space="preserve">Wled fimware based or capable of running Wled</t>
      </text>
    </comment>
    <comment authorId="0" ref="R1">
      <text>
        <t xml:space="preserve">High level notes.
DO NOT USE for notes for specific other columns. Use the built in cell "Note" feature of Google Sheets.</t>
      </text>
    </comment>
    <comment authorId="0" ref="T1">
      <text>
        <t xml:space="preserve">Date/year of first market availability</t>
      </text>
    </comment>
    <comment authorId="0" ref="H7">
      <text>
        <t xml:space="preserve">SHOWTime™
https://www.advateklights.com/advatek-showtime-2022</t>
      </text>
    </comment>
    <comment authorId="0" ref="H12">
      <text>
        <t xml:space="preserve">SHOWTime™
https://www.advateklights.com/advatek-showtime-2022</t>
      </text>
    </comment>
    <comment authorId="0" ref="H13">
      <text>
        <t xml:space="preserve">SHOWTime™
https://www.advateklights.com/advatek-showtime-2022</t>
      </text>
    </comment>
    <comment authorId="0" ref="H14">
      <text>
        <t xml:space="preserve">SHOWTime™
https://www.advateklights.com/advatek-showtime-2022</t>
      </text>
    </comment>
    <comment authorId="0" ref="L17">
      <text>
        <t xml:space="preserve">5V outputs from microcontroller</t>
      </text>
    </comment>
    <comment authorId="0" ref="C49">
      <text>
        <t xml:space="preserve">RGB (8-bit): 340
RGBW (8-Bit): 256
--------------------
RGB (16-bit) 170
RGBW (16-bit) 128</t>
      </text>
    </comment>
    <comment authorId="0" ref="I66">
      <text>
        <t xml:space="preserve">Requires differential receivers to actually drive LEDs</t>
      </text>
    </comment>
    <comment authorId="0" ref="D76">
      <text>
        <t xml:space="preserve">299 (1024px)
 449 (2048px)
 599 (4096px)
 1Y SW license incl</t>
      </text>
    </comment>
    <comment authorId="0" ref="K76">
      <text>
        <t xml:space="preserve"> 10A per OUT</t>
      </text>
    </comment>
    <comment authorId="0" ref="D77">
      <text>
        <t xml:space="preserve">625 (1024px)
950 (2048px)
1250 (4096px)
Lifetime SW license included</t>
      </text>
    </comment>
    <comment authorId="0" ref="K77">
      <text>
        <t xml:space="preserve"> 10A per OUT</t>
      </text>
    </comment>
    <comment authorId="0" ref="D78">
      <text>
        <t xml:space="preserve">850 (1024px)
 1125 (2048px)
 1400 (4096px)
 Lifetime SW license incl</t>
      </text>
    </comment>
    <comment authorId="0" ref="K78">
      <text>
        <t xml:space="preserve"> 10A per OUT</t>
      </text>
    </comment>
    <comment authorId="0" ref="I93">
      <text>
        <t xml:space="preserve">Requires differential receivers to actually drive LEDs</t>
      </text>
    </comment>
    <comment authorId="0" ref="C102">
      <text>
        <t xml:space="preserve">1 decoder and 2 staellites with 4 600 RGB LED outputs required to acheive total
</t>
      </text>
    </comment>
    <comment authorId="0" ref="I123">
      <text>
        <t xml:space="preserve">for data &amp; clock type LEDs only 4 of the 8 outputs are available</t>
      </text>
    </comment>
    <comment authorId="0" ref="I124">
      <text>
        <t xml:space="preserve">for data &amp; clock type LEDs only 4 of the 8 outputs are available</t>
      </text>
    </comment>
    <comment authorId="1" xr:uid="{0ef799da-afef-407d-9601-97df6cbb104f}" ref="A4">
      <text>
        <t xml:space="preserve">[Threaded comment]
 Your version of Excel allows you to read this threaded comment; however, any edits to it will get removed if the file is opened in a newer version of Excel. Learn more: https://go.microsoft.com/fwlink/?linkid=870924
Comment:
	Is this accurate? Was MK2
</t>
      </text>
    </comment>
    <comment authorId="2" xr:uid="{266a9cc4-dad8-47c0-be86-930a7ea7839e}" ref="C49">
      <text>
        <t xml:space="preserve">[Threaded comment]
 Your version of Excel allows you to read this threaded comment; however, any edits to it will get removed if the file is opened in a newer version of Excel. Learn more: https://go.microsoft.com/fwlink/?linkid=870924
Comment:
	RGB (8-bit): 340
RGBW (8-Bit): 256
--------------------
RGB (16-bit)	170
RGBW (16-bit)	128
</t>
      </text>
    </comment>
    <comment authorId="3" xr:uid="{290b984e-e819-4d71-bca8-d8e5f0e68acd}" ref="I29">
      <text>
        <t xml:space="preserve">[Threaded comment]
 Your version of Excel allows you to read this threaded comment; however, any edits to it will get removed if the file is opened in a newer version of Excel. Learn more: https://go.microsoft.com/fwlink/?linkid=870924
Comment:
	I'd like to be a little more specific than this :)
</t>
      </text>
    </comment>
    <comment authorId="4" xr:uid="{3f4344bd-0c0b-45cd-b31b-50864cfc8667}" ref="I124">
      <text>
        <t xml:space="preserve">[Threaded comment]
 Your version of Excel allows you to read this threaded comment; however, any edits to it will get removed if the file is opened in a newer version of Excel. Learn more: https://go.microsoft.com/fwlink/?linkid=870924
Comment:
	for data &amp; clock type LEDs only 4 of the 8 outputs are available
Reply:
	I would add this as a "Note" so that it sticks around, not a "Comment" that can be "resolved".
</t>
      </text>
    </comment>
    <comment authorId="5" xr:uid="{56766ab1-d03b-4f49-8071-10a955c17f0f}" ref="G49">
      <text>
        <t xml:space="preserve">[Threaded comment]
 Your version of Excel allows you to read this threaded comment; however, any edits to it will get removed if the file is opened in a newer version of Excel. Learn more: https://go.microsoft.com/fwlink/?linkid=870924
Comment:
	Not removable
</t>
      </text>
    </comment>
    <comment authorId="6" xr:uid="{6100494c-83d5-47b7-bb0d-2f5fabef0e81}" ref="A32">
      <text>
        <t xml:space="preserve">[Threaded comment]
 Your version of Excel allows you to read this threaded comment; however, any edits to it will get removed if the file is opened in a newer version of Excel. Learn more: https://go.microsoft.com/fwlink/?linkid=870924
Comment:
	Why is this cell colored?
</t>
      </text>
    </comment>
    <comment authorId="7" xr:uid="{6d149c2f-eabb-4032-b488-e025977c5559}" ref="H63">
      <text>
        <t xml:space="preserve">[Threaded comment]
 Your version of Excel allows you to read this threaded comment; however, any edits to it will get removed if the file is opened in a newer version of Excel. Learn more: https://go.microsoft.com/fwlink/?linkid=870924
Comment:
	requires RPi
</t>
      </text>
    </comment>
    <comment authorId="8" xr:uid="{7962adff-899f-4a80-8261-686e88d5ca68}" ref="G63">
      <text>
        <t xml:space="preserve">[Threaded comment]
 Your version of Excel allows you to read this threaded comment; however, any edits to it will get removed if the file is opened in a newer version of Excel. Learn more: https://go.microsoft.com/fwlink/?linkid=870924
Comment:
	requires RPi
</t>
      </text>
    </comment>
    <comment authorId="9" xr:uid="{a0e7ee5c-f33f-4655-8a67-535cd9cf46a0}" ref="I30">
      <text>
        <t xml:space="preserve">[Threaded comment]
 Your version of Excel allows you to read this threaded comment; however, any edits to it will get removed if the file is opened in a newer version of Excel. Learn more: https://go.microsoft.com/fwlink/?linkid=870924
Comment:
	Shouldn't this be "Async" to match the other controllers that have similar outputs? Is there a better word to describe this type of non-clocked output (WS2812 like)
</t>
      </text>
    </comment>
    <comment authorId="10" xr:uid="{a52c0981-4d62-419d-881f-35774d5dc5ab}" ref="D77">
      <text>
        <t xml:space="preserve">[Threaded comment]
 Your version of Excel allows you to read this threaded comment; however, any edits to it will get removed if the file is opened in a newer version of Excel. Learn more: https://go.microsoft.com/fwlink/?linkid=870924
Comment:
	625 (1024px)
950 (2048px)
1250 (4096px)
Lifetime SW license included
</t>
      </text>
    </comment>
    <comment authorId="11" xr:uid="{d16492ee-f519-4779-83af-c514fa52d0fd}" ref="C102">
      <text>
        <t xml:space="preserve">[Threaded comment]
 Your version of Excel allows you to read this threaded comment; however, any edits to it will get removed if the file is opened in a newer version of Excel. Learn more: https://go.microsoft.com/fwlink/?linkid=870924
Comment:
	1 decoder and 2 satellites with 4 600 RGB LED ouputs requires to acheive total
</t>
      </text>
    </comment>
    <comment authorId="12" xr:uid="{dd19c414-3425-4a3b-9f9a-069338792558}" ref="U3">
      <text>
        <t xml:space="preserve">[Threaded comment]
 Your version of Excel allows you to read this threaded comment; however, any edits to it will get removed if the file is opened in a newer version of Excel. Learn more: https://go.microsoft.com/fwlink/?linkid=870924
Comment:
	This is a very popular platform, so I’d appreciate a moderator looking at my edit here. I am uncertain whether the recent commit to the README by the maintainer, Scanlime, means we should not expect continued support after Adafruit sells current inventory. If I were consuming this list and deciding on a platform for the future, I’d want to know about potential instability for procuring reserve boards, etc.
Reply:
	The whole point of this column is to do exactly that. If this product is EOL, it should be marked as such.
I think it would be prudent to add a link to the announcement by Scanlime.
Reply:
	Sounds good. Link to current README added to "Notes" column. Here is a specific link to the commit in case people in the future are looking for context.
https://github.com/scanlime/fadecandy/commit/82ca2b12f177cbbfbd305d349fa9754635b197b7
</t>
      </text>
    </comment>
    <comment authorId="13" xr:uid="{df326e53-20a3-4113-98bf-85427f82691b}" ref="F43">
      <text>
        <t xml:space="preserve">[Threaded comment]
 Your version of Excel allows you to read this threaded comment; however, any edits to it will get removed if the file is opened in a newer version of Excel. Learn more: https://go.microsoft.com/fwlink/?linkid=870924
Comment:
	this interface uses Artnet (Ethernet) as input, not USB
Reply:
	You should fix it! :)
</t>
      </text>
    </comment>
    <comment authorId="14" xr:uid="{fb330e57-0f13-45dd-a33b-b9d2305c0b0b}" ref="K132">
      <text>
        <t xml:space="preserve">[Threaded comment]
 Your version of Excel allows you to read this threaded comment; however, any edits to it will get removed if the file is opened in a newer version of Excel. Learn more: https://go.microsoft.com/fwlink/?linkid=870924
Comment:
	Can someone confirm this? 5A fuse + 2A fuse in docs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tc={0bd61d81-146b-4d10-8a15-17fba7f250ef}</author>
    <author>tc={1cbc0b26-6cd3-47a2-9963-375f11d4ba3d}</author>
    <author>tc={65050cc1-dc70-4787-8ca1-07bdfab193fb}</author>
    <author>tc={67b4a823-9f6e-407f-9596-445add9745c7}</author>
    <author>tc={aeda9538-6efd-40d5-8f57-f11c97dc3859}</author>
    <author>tc={e88bbb97-57bd-44d0-a2be-84ebc29c3be6}</author>
  </authors>
  <commentList>
    <comment authorId="0" ref="B1">
      <text>
        <t xml:space="preserve">Color channels listed in order of their data transmission, irrespective of endianness (which is usually big endian, MSB first)</t>
      </text>
    </comment>
    <comment authorId="0" ref="C1">
      <text>
        <t xml:space="preserve">Nominal LED Supply Voltage</t>
      </text>
    </comment>
    <comment authorId="0" ref="E1">
      <text>
        <t xml:space="preserve">Nominal VCC pin voltage for pixel. Often hidden from end users</t>
      </text>
    </comment>
    <comment authorId="0" ref="F1">
      <text>
        <t xml:space="preserve">PWM Frequency of outputs
If you used a high speed camera, how often would you see the individual pixels flash?</t>
      </text>
    </comment>
    <comment authorId="0" ref="H1">
      <text>
        <t xml:space="preserve">Maximum or Fixed
How fast can each bit of color information be sent (on average)?</t>
      </text>
    </comment>
    <comment authorId="0" ref="J1">
      <text>
        <t xml:space="preserve">Maximum pixel frames per second that can be sent to the pixel (Ignoring frame/reset overhead).
Divide by the length of your string (in pixels) to get approximate theoretical maximum frame rate.
For instance, for a string of 1000 WS2811 pixels:
Theoretical Max Frame Rate = Data Rate Max / Pixel Length
Theoretical Max Frame Rate = "33.3 Pixel•kHz" / "1000 Pixels"
Theoretical Max Frame Rate = 33Hz = 33FPS
Note, this is *theoretical* max. In practice, the protocol header and reset overhead reduce this somewhat.</t>
      </text>
    </comment>
    <comment authorId="0" ref="K1">
      <text>
        <t xml:space="preserve">Lowest Voltage that datasheet claims works as a "high" level input at nominal Supply Voltage</t>
      </text>
    </comment>
    <comment authorId="0" ref="L1">
      <text>
        <t xml:space="preserve">Maximum voltage allowed at data input pin of IC at nominal Supply Voltage</t>
      </text>
    </comment>
    <comment authorId="0" ref="N1">
      <text>
        <t xml:space="preserve">usually default current with built-in LED; often programmable in external controller ICs</t>
      </text>
    </comment>
    <comment authorId="0" ref="O1">
      <text>
        <t xml:space="preserve">minimum current to controller; actual current/pixel above 5V depends on regulation method if Output Voltage is &lt;5V  </t>
      </text>
    </comment>
    <comment authorId="0" ref="T1">
      <text>
        <t xml:space="preserve">Some pixel strings, ignoring power issues and frame rate limits, have some practical maximum number of pixels that can be controlled on a single "string".
This is NOT about how many pixels at a given frame rate.
This is about a fundamental limitation of the chips. For instance, APA102, every clock pulse gets shorter by a few ns every pixel. This means, after a few hundred pixels, no matter what, the clock signal can no longer be retrieved.</t>
      </text>
    </comment>
    <comment authorId="0" ref="U1">
      <text>
        <t xml:space="preserve">first date on datasheet, or based on Google trends</t>
      </text>
    </comment>
    <comment authorId="0" ref="C2">
      <text>
        <t xml:space="preserve">Datasheet claims "26V Vds, Max" but LEDs are built-in and share power with 5V VDD
</t>
      </text>
    </comment>
    <comment authorId="0" ref="I2">
      <text>
        <t xml:space="preserve">the pdf specs say 32 bits</t>
      </text>
    </comment>
    <comment authorId="0" ref="N2">
      <text>
        <t xml:space="preserve">datasheet states max 49mA current, but graph for 5050 package shows R=19mA, G,B=22mA. 3535 package lower current</t>
      </text>
    </comment>
    <comment authorId="0" ref="C3">
      <text>
        <t xml:space="preserve">Datasheet claims "26V Vds, Max" but LEDs are built-in and share power with 5V VDD
</t>
      </text>
    </comment>
    <comment authorId="0" ref="N3">
      <text>
        <t xml:space="preserve">datasheet states max 49mA current, but graph for 5050 package shows R=19mA, G,B=22mA</t>
      </text>
    </comment>
    <comment authorId="0" ref="F5">
      <text>
        <t xml:space="preserve">uses MPWM to effectively multiply 2kHz PWM to 8kHz</t>
      </text>
    </comment>
    <comment authorId="0" ref="I5">
      <text>
        <t xml:space="preserve">36 bits Interpolated 12 bits gamma correction per colour</t>
      </text>
    </comment>
    <comment authorId="0" ref="N5">
      <text>
        <t xml:space="preserve">measured current across 3 LEDs at 12V. datasheet claims 15mA</t>
      </text>
    </comment>
    <comment authorId="0" ref="C7">
      <text>
        <t xml:space="preserve">datasheet 10.8-13.2V
</t>
      </text>
    </comment>
    <comment authorId="0" ref="F7">
      <text>
        <t xml:space="preserve">8Khz according to data sheet
</t>
      </text>
    </comment>
    <comment authorId="0" ref="N8">
      <text>
        <t xml:space="preserve">not listed in datasheet, but ~20mA probable</t>
      </text>
    </comment>
    <comment authorId="0" ref="C9">
      <text>
        <t xml:space="preserve">Datasheet claims "26V Vds, Max" but LEDs are built-in and share power with 5V VDD
</t>
      </text>
    </comment>
    <comment authorId="0" ref="N9">
      <text>
        <t xml:space="preserve">not specified in datasheet but package limit is 0.2W, so ~20mA per channel probably</t>
      </text>
    </comment>
    <comment authorId="0" ref="C10">
      <text>
        <t xml:space="preserve">Datasheet claims "26V Vds, Max" but LEDs are built-in and share power with 5V VDD
</t>
      </text>
    </comment>
    <comment authorId="0" ref="F10">
      <text>
        <t xml:space="preserve">measured value.</t>
      </text>
    </comment>
    <comment authorId="0" ref="N10">
      <text>
        <t xml:space="preserve">datasheet states max 49mA current, but graph for 5050, 2040 package shows R=19mA, G,B=22mA, W,WW not spec'ed. Lower current likely in 3537 mini</t>
      </text>
    </comment>
    <comment authorId="0" ref="F13">
      <text>
        <t xml:space="preserve">400 Hz is an old PWM spec. newer WS2812b (post 2018) use updated IC with 2.0 kHz PWM rate same as WS2813 etc.</t>
      </text>
    </comment>
    <comment authorId="0" ref="U13">
      <text>
        <t xml:space="preserve">specs updated 2018</t>
      </text>
    </comment>
    <comment authorId="0" ref="N14">
      <text>
        <t xml:space="preserve">Also has a 5mA version</t>
      </text>
    </comment>
    <comment authorId="0" ref="U14">
      <text>
        <t xml:space="preserve">specs updated 2018</t>
      </text>
    </comment>
    <comment authorId="0" ref="C15">
      <text>
        <t xml:space="preserve">datasheet 9.5-13.5V
</t>
      </text>
    </comment>
    <comment authorId="0" ref="F15">
      <text>
        <t xml:space="preserve">2Khz according to data sheet
</t>
      </text>
    </comment>
    <comment authorId="0" ref="O15">
      <text>
        <t xml:space="preserve">at 12V</t>
      </text>
    </comment>
    <comment authorId="0" ref="E16">
      <text>
        <t xml:space="preserve">can use external resistor to supply 5V Vdd from higher system voltage
</t>
      </text>
    </comment>
    <comment authorId="0" ref="O16">
      <text>
        <t xml:space="preserve">at 12V</t>
      </text>
    </comment>
    <comment authorId="0" ref="G17">
      <text>
        <t xml:space="preserve">extra 5-bit brightness control by overlaying 400Hz PWM on LEDs</t>
      </text>
    </comment>
    <comment authorId="0" ref="N17">
      <text>
        <t xml:space="preserve">19-22mA in 5050, 10mA for 2020; extra 5 bits PWM not current control</t>
      </text>
    </comment>
    <comment authorId="0" ref="T17">
      <text>
        <t xml:space="preserve">https://www.pjrc.com/why-apa102-leds-have-trouble-at-24-mhz/</t>
      </text>
    </comment>
    <comment authorId="0" ref="G18">
      <text>
        <t xml:space="preserve">extra 5-bit brightness control by overlaying 400Hz PWM on LEDs</t>
      </text>
    </comment>
    <comment authorId="0" ref="N18">
      <text>
        <t xml:space="preserve">19-22mA in 5050, 10mA for 2020; extra 5 bits PWM not current control</t>
      </text>
    </comment>
    <comment authorId="0" ref="T18">
      <text>
        <t xml:space="preserve">https://www.pjrc.com/why-apa102-leds-have-trouble-at-24-mhz/</t>
      </text>
    </comment>
    <comment authorId="0" ref="F19">
      <text>
        <t xml:space="preserve">Datasheet claims 1.2kHz but all specs identical to SK6812 which tests at 4.7kHz</t>
      </text>
    </comment>
    <comment authorId="0" ref="G19">
      <text>
        <t xml:space="preserve">extra 5-bit brightness control likely controls LED current, like SK9822</t>
      </text>
    </comment>
    <comment authorId="0" ref="N19">
      <text>
        <t xml:space="preserve">datasheet claims 22-26mA, however all other specs identical to SK9822, 19-22 mA most likely true</t>
      </text>
    </comment>
    <comment authorId="0" ref="G21">
      <text>
        <t xml:space="preserve">Global 5-bit brightness control</t>
      </text>
    </comment>
    <comment authorId="0" ref="G22">
      <text>
        <t xml:space="preserve">extra 5-bit brightness control</t>
      </text>
    </comment>
    <comment authorId="0" ref="C23">
      <text>
        <t xml:space="preserve">Datasheet claims "17V Vds, Max" but LEDs are built-in and share power with 5V VDD
</t>
      </text>
    </comment>
    <comment authorId="0" ref="F23">
      <text>
        <t xml:space="preserve">Datasheet claims 1.2kHz but testing shows 4.7kHz</t>
      </text>
    </comment>
    <comment authorId="0" ref="G23">
      <text>
        <t xml:space="preserve">extra 5-bit brightness control by LED current</t>
      </text>
    </comment>
    <comment authorId="0" ref="K23">
      <text>
        <t xml:space="preserve">Not in datasheet
</t>
      </text>
    </comment>
    <comment authorId="0" ref="N24">
      <text>
        <t xml:space="preserve">WS2816C is 10mA
WS2816B is 20mA</t>
      </text>
    </comment>
    <comment authorId="0" ref="G25">
      <text>
        <t xml:space="preserve">5-bit for each color, R, G, &amp; B</t>
      </text>
    </comment>
    <comment authorId="0" ref="G26">
      <text>
        <t xml:space="preserve">extra 5-bit brightness control by LED current</t>
      </text>
    </comment>
    <comment authorId="0" ref="G27">
      <text>
        <t xml:space="preserve">extra 5-bit brightness control by LED current</t>
      </text>
    </comment>
    <comment authorId="0" ref="G28">
      <text>
        <t xml:space="preserve">extra 5-bit brightness control by LED current</t>
      </text>
    </comment>
    <comment authorId="0" ref="G30">
      <text>
        <t xml:space="preserve">extra 5-bit brightness control</t>
      </text>
    </comment>
    <comment authorId="0" ref="G31">
      <text>
        <t xml:space="preserve">extra 5-bit brightness control</t>
      </text>
    </comment>
    <comment authorId="1" xr:uid="{0bd61d81-146b-4d10-8a15-17fba7f250ef}" ref="A1">
      <text>
        <t xml:space="preserve">[Threaded comment]
 Your version of Excel allows you to read this threaded comment; however, any edits to it will get removed if the file is opened in a newer version of Excel. Learn more: https://go.microsoft.com/fwlink/?linkid=870924
Comment:
	Could do with a snappier URL, will sponsor a domain if can agree a name 
 www.tacklindlist.info?
Reply:
	Good idea, I keep having to search for the URL if I don't have it bookmarked in the browser I'm using.  Here's a quick solution: tiny.cc/awesomesheet
Reply:
	I'd be happy to buy a domain for this. I have a couple other community lists like this (but this is the most active) that could use a home too. Domains I own right now that could make sense with subdomains: tacklind.com (personal/business domain), arbitraryshit.com (needed to fix the internet), tomsawyerlabs.com (open source projects).
Reply:
	in recognition of the group where it started www.awesomeledlist.com  wil find here in the future , and save me trying to hunt the darn thing out away from main machine :_0
Reply:
	Marked as resolved
Reply:
	mebbe add a URL note on the readme page so people can book mark it, if you add it as a subdomain to other domains might have a few domains pointing, somethning along " this page as available at : www.awesomeledlist.com  and  tiny.cc/awesomesheet and https://docs.google.com/spreadsheets/d/10pHG7_VIVltyqJK1Y0T5g3Iq6YJV2MnhMp3UcAVB-GA
 "
Re-opened
</t>
      </text>
    </comment>
    <comment authorId="2" xr:uid="{1cbc0b26-6cd3-47a2-9963-375f11d4ba3d}" ref="A13">
      <text>
        <t xml:space="preserve">[Threaded comment]
 Your version of Excel allows you to read this threaded comment; however, any edits to it will get removed if the file is opened in a newer version of Excel. Learn more: https://go.microsoft.com/fwlink/?linkid=870924
Comment:
	I'm thinking about adding mode lines for all the variants: B,C,E &amp; the -2020 size versions. Any thoughts?
Reply:
	Seems like a good plan
</t>
      </text>
    </comment>
    <comment authorId="3" xr:uid="{65050cc1-dc70-4787-8ca1-07bdfab193fb}" ref="V10">
      <text>
        <t xml:space="preserve">[Threaded comment]
 Your version of Excel allows you to read this threaded comment; however, any edits to it will get removed if the file is opened in a newer version of Excel. Learn more: https://go.microsoft.com/fwlink/?linkid=870924
Comment:
	Should this variant be a different line?
</t>
      </text>
    </comment>
    <comment authorId="4" xr:uid="{67b4a823-9f6e-407f-9596-445add9745c7}" ref="V17">
      <text>
        <t xml:space="preserve">[Threaded comment]
 Your version of Excel allows you to read this threaded comment; however, any edits to it will get removed if the file is opened in a newer version of Excel. Learn more: https://go.microsoft.com/fwlink/?linkid=870924
Comment:
	I'm not finding this. If it exists, please make a second row for it.
</t>
      </text>
    </comment>
    <comment authorId="5" xr:uid="{aeda9538-6efd-40d5-8f57-f11c97dc3859}" ref="F24">
      <text>
        <t xml:space="preserve">[Threaded comment]
 Your version of Excel allows you to read this threaded comment; however, any edits to it will get removed if the file is opened in a newer version of Excel. Learn more: https://go.microsoft.com/fwlink/?linkid=870924
Comment:
	Not sure if that's what the datasheet was claiming
</t>
      </text>
    </comment>
    <comment authorId="6" xr:uid="{e88bbb97-57bd-44d0-a2be-84ebc29c3be6}" ref="K15">
      <text>
        <t xml:space="preserve">[Threaded comment]
 Your version of Excel allows you to read this threaded comment; however, any edits to it will get removed if the file is opened in a newer version of Excel. Learn more: https://go.microsoft.com/fwlink/?linkid=870924
Comment:
	Datasheet says can handle 0.7*VDD (VDD = 12V). I don't think this is accurate.
Reply:
	I think that's a copy-paste failure. Or they mean after an internal regular drops things down from 12v to 5v.
Reply:
	Yeah, that's more typical. 0.7*VCC.
Reply:
	Yes. Vdd is internal 5V bus, so 3.5V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tc={91abf600-63f1-402f-9694-44c304d714ae}</author>
  </authors>
  <commentList>
    <comment authorId="0" ref="B1">
      <text>
        <t xml:space="preserve">PWM Frequency of outputs
If you used a high speed camera, how often would you see the individual pixels flash?</t>
      </text>
    </comment>
    <comment authorId="0" ref="C1">
      <text>
        <t xml:space="preserve">Number of output channels per IC</t>
      </text>
    </comment>
    <comment authorId="0" ref="D1">
      <text>
        <t xml:space="preserve">Dimming per channel</t>
      </text>
    </comment>
    <comment authorId="0" ref="E1">
      <text>
        <t xml:space="preserve">Dimming for whole chip at once</t>
      </text>
    </comment>
    <comment authorId="0" ref="I1">
      <text>
        <t xml:space="preserve">Maximum pixel frames per second that can be sent to the pixel (Ignoring frame/reset overhead).
Divide by the length of your string (in pixels) to get approximate theoretical maximum frame rate.
For instance, for a string of 1000 WS2811 pixels:
Theoretical Max Frame Rate = Data Rate Max / Pixel Length
Theoretical Max Frame Rate = "33.3 Pixel•kHz" / "1000 Pixels"
Theoretical Max Frame Rate = 33Hz = 33FPS
Note, this is *theoretical* max. In practice, the protocol header and reset overhead reduce this somewhat.</t>
      </text>
    </comment>
    <comment authorId="0" ref="J1">
      <text>
        <t xml:space="preserve">Maximum allowable output channel voltage</t>
      </text>
    </comment>
    <comment authorId="0" ref="K1">
      <text>
        <t xml:space="preserve">Nominal VCC pin voltage for pixel or IC</t>
      </text>
    </comment>
    <comment authorId="0" ref="L1">
      <text>
        <t xml:space="preserve">Lowest Voltage that datasheet claims works as a "high" level input at nominal Supply Voltage</t>
      </text>
    </comment>
    <comment authorId="0" ref="M1">
      <text>
        <t xml:space="preserve">Maximum voltage allowed at data input pin of IC at nominal Supply Voltage</t>
      </text>
    </comment>
    <comment authorId="0" ref="N1">
      <text>
        <t xml:space="preserve">per channel</t>
      </text>
    </comment>
    <comment authorId="0" ref="O1">
      <text>
        <t xml:space="preserve">minimum current to controller; actual current/pixel above 5V depends on regulation method if Output Voltage is &lt;5V  </t>
      </text>
    </comment>
    <comment authorId="0" ref="T1">
      <text>
        <t xml:space="preserve">Some pixel strings, ignoring power issues and frame rate limits, have some practical maximum number of pixels that can be controlled on a single "string".
This is NOT about how many pixels at a given frame rate.
This is about a fundamental limitation of the chips. For instance, APA102, every clock pulse gets shorter by a few ns every pixel. This means, after a few hundred pixels, no matter what, the clock signal can no longer be retrieved.</t>
      </text>
    </comment>
    <comment authorId="0" ref="U1">
      <text>
        <t xml:space="preserve">first date on datasheet, or based on Google trends</t>
      </text>
    </comment>
    <comment authorId="0" ref="B6">
      <text>
        <t xml:space="preserve">Not listed</t>
      </text>
    </comment>
    <comment authorId="0" ref="G6">
      <text>
        <t xml:space="preserve">Datasheet is ambiguous. Has 3 different maximums listed:
15MHz
24MHz
25MHz</t>
      </text>
    </comment>
    <comment authorId="0" ref="L6">
      <text>
        <t xml:space="preserve">Not in datasheet
</t>
      </text>
    </comment>
    <comment authorId="0" ref="B7">
      <text>
        <t xml:space="preserve">1.2MHz internal clock/128</t>
      </text>
    </comment>
    <comment authorId="0" ref="B10">
      <text>
        <t xml:space="preserve">Uses "adaptive pulse density modulation". 2kHz is maximum frequency@16 bits. 512kHZ@8 bits.</t>
      </text>
    </comment>
    <comment authorId="0" ref="H10">
      <text>
        <t xml:space="preserve">Variable
TODO: create list of possible values</t>
      </text>
    </comment>
    <comment authorId="0" ref="J12">
      <text>
        <t xml:space="preserve">datasheet also claims 17V and shows a 24V application
</t>
      </text>
    </comment>
    <comment authorId="0" ref="T12">
      <text>
        <t xml:space="preserve">TCL estimates up to 8000 pixels@30FPS</t>
      </text>
    </comment>
    <comment authorId="0" ref="B16">
      <text>
        <t xml:space="preserve">Configurable to 800Hz</t>
      </text>
    </comment>
    <comment authorId="0" ref="B39">
      <text>
        <t xml:space="preserve">400 Hz is an old PWM spec. newer WS2812b (post 2018) use updated IC with 2.0 kHz PWM rate same as WS2813 etc.</t>
      </text>
    </comment>
    <comment authorId="0" ref="K39">
      <text>
        <t xml:space="preserve">can use external resistor to supply 5V Vdd from higher system voltage
</t>
      </text>
    </comment>
    <comment authorId="0" ref="U39">
      <text>
        <t xml:space="preserve">specs updated 2018 to match other WS281x</t>
      </text>
    </comment>
    <comment authorId="0" ref="J42">
      <text>
        <t xml:space="preserve">24V version also available</t>
      </text>
    </comment>
    <comment authorId="0" ref="K42">
      <text>
        <t xml:space="preserve">can use external resistor to supply 5V Vdd from higher system voltage
</t>
      </text>
    </comment>
    <comment authorId="0" ref="O42">
      <text>
        <t xml:space="preserve">at 12V</t>
      </text>
    </comment>
    <comment authorId="1" xr:uid="{91abf600-63f1-402f-9694-44c304d714ae}" ref="C7">
      <text>
        <t xml:space="preserve">[Threaded comment]
 Your version of Excel allows you to read this threaded comment; however, any edits to it will get removed if the file is opened in a newer version of Excel. Learn more: https://go.microsoft.com/fwlink/?linkid=870924
Comment:
	I think this should be 6 (https://cdn-shop.adafruit.com/datasheets/lpd8806+english.pdf)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WS281x 1-wire channels, if the controller has a hard limit</t>
      </text>
    </comment>
    <comment authorId="0" ref="D1">
      <text>
        <t xml:space="preserve">If the product supports single wire vs double wire protocols</t>
      </text>
    </comment>
    <comment authorId="0" ref="G1">
      <text>
        <t xml:space="preserve">Single or Clock means output pins can be configured as one or the other.
Single and Clock means dedicated Clock outputs that cannot be used as general outputs</t>
      </text>
    </comment>
    <comment authorId="0" ref="H1">
      <text>
        <t xml:space="preserve">Can this be purchased "Off the shelf"?</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tc={edfa19a7-b432-44d7-ac96-8dbea5def594}</author>
  </authors>
  <commentList>
    <comment authorId="0" ref="C1">
      <text>
        <t xml:space="preserve">WS281x 1-wire channels, if the controller has a hard or suggested limit</t>
      </text>
    </comment>
    <comment authorId="0" ref="D1">
      <text>
        <t xml:space="preserve">How does this product get patterns?</t>
      </text>
    </comment>
    <comment authorId="0" ref="E1">
      <text>
        <t xml:space="preserve">High level notes.
DO NOT USE for notes for specific other columns. Use the built in cell "Note" feature of Google Sheets.</t>
      </text>
    </comment>
    <comment authorId="0" ref="F1">
      <text>
        <t xml:space="preserve">Price of baseline version
Please use USD or Google's built-in currency conversion.
For example, £1000 should be entered as:
=1000*GOOGLEFINANCE("CURRENCY:GBPUSD")</t>
      </text>
    </comment>
    <comment authorId="0" ref="G1">
      <text>
        <t xml:space="preserve">If string shares power with controller, what is the maximum voltage the controller can go to?</t>
      </text>
    </comment>
    <comment authorId="0" ref="H1">
      <text>
        <t xml:space="preserve">Maximum allowable continuous Current through all outputs on the board, if supported</t>
      </text>
    </comment>
    <comment authorId="0" ref="I1">
      <text>
        <t xml:space="preserve">Are the outputs from an output buffer driver or direct from CPU?</t>
      </text>
    </comment>
    <comment authorId="1" xr:uid="{edfa19a7-b432-44d7-ac96-8dbea5def594}" ref="A2">
      <text>
        <t xml:space="preserve">[Threaded comment]
 Your version of Excel allows you to read this threaded comment; however, any edits to it will get removed if the file is opened in a newer version of Excel. Learn more: https://go.microsoft.com/fwlink/?linkid=870924
Comment:
	Wouldn't this actually just be a controller?  I thought "Level Shifters" would be like Logic Level Shifters like the 74AHCT125 ship or something...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tc={0c2608db-e44c-4c09-b6fd-15122cc261d5}</author>
    <author>tc={e032ebee-08e2-4017-8f47-ee929b6654b9}</author>
  </authors>
  <commentList>
    <comment authorId="0" ref="C1">
      <text>
        <t xml:space="preserve">WS281x 1-wire channels, if the controller has a hard limit</t>
      </text>
    </comment>
    <comment authorId="0" ref="D1">
      <text>
        <t xml:space="preserve">If the product supports single wire vs double wire protocols</t>
      </text>
    </comment>
    <comment authorId="0" ref="E1">
      <text>
        <t xml:space="preserve">If string shares power with controller, what is the maximum voltage the controller can go to?</t>
      </text>
    </comment>
    <comment authorId="0" ref="F1">
      <text>
        <t xml:space="preserve">Maximum allowable Current through the board, if supported</t>
      </text>
    </comment>
    <comment authorId="0" ref="K1">
      <text>
        <t xml:space="preserve">Single or Clock means output pins can be configured as one or the other.
Single and Clock means dedicated Clock outputs that cannot be used as general outputs</t>
      </text>
    </comment>
    <comment authorId="0" ref="L1">
      <text>
        <t xml:space="preserve">Can this be purchased "Off the shelf"?</t>
      </text>
    </comment>
    <comment authorId="0" ref="E38">
      <text>
        <t xml:space="preserve">Does not provide power to Pi</t>
      </text>
    </comment>
    <comment authorId="1" xr:uid="{0c2608db-e44c-4c09-b6fd-15122cc261d5}" ref="A45">
      <text>
        <t xml:space="preserve">[Threaded comment]
 Your version of Excel allows you to read this threaded comment; however, any edits to it will get removed if the file is opened in a newer version of Excel. Learn more: https://go.microsoft.com/fwlink/?linkid=870924
Comment:
	Isn't this a "Controller" since it comes with a ESP and software?
</t>
      </text>
    </comment>
    <comment authorId="2" xr:uid="{e032ebee-08e2-4017-8f47-ee929b6654b9}" ref="A2">
      <text>
        <t xml:space="preserve">[Threaded comment]
 Your version of Excel allows you to read this threaded comment; however, any edits to it will get removed if the file is opened in a newer version of Excel. Learn more: https://go.microsoft.com/fwlink/?linkid=870924
Comment:
	If I understand correctly, this is all software to make an OrangePi (and RapsberryPis to some extent) run without Linux and support a bunch of useful protocols for pixel control. Does it actually drive pixel outputs directly too?
Don't get me wrong, this is very cool. I just think it belongs in a different category/tab/sheet. Is it a "Drive Library"? Maybe we need an "Other" tab.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tc={fbe42ab0-957f-463d-b4f7-20a31d8585c5}</author>
  </authors>
  <commentList>
    <comment authorId="0" xr:uid="{fbe42ab0-957f-463d-b4f7-20a31d8585c5}" ref="A1">
      <text>
        <t xml:space="preserve">[Threaded comment]
 Your version of Excel allows you to read this threaded comment; however, any edits to it will get removed if the file is opened in a newer version of Excel. Learn more: https://go.microsoft.com/fwlink/?linkid=870924
Comment:
	worth adding another sheet for LED types WS/UCSSK etc?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tc={04f1cef0-c7a1-443d-acdf-af6737204f3e}</author>
    <author>tc={42850fa8-7893-4cef-9013-2d24df359c19}</author>
    <author>tc={479e908a-3cd6-4cfd-bdc9-c10e993b1d3b}</author>
    <author>tc={a973a002-7c1e-4349-92a9-f7d4b5c21dfa}</author>
    <author>tc={fbb9fc77-6115-46ab-b02b-d0596922582e}</author>
  </authors>
  <commentList>
    <comment authorId="0" ref="E1">
      <text>
        <t xml:space="preserve">Instruction Set Architecture</t>
      </text>
    </comment>
    <comment authorId="0" ref="I1">
      <text>
        <t xml:space="preserve">Can you run a relatively standard Linux on this device</t>
      </text>
    </comment>
    <comment authorId="0" ref="J1">
      <text>
        <t xml:space="preserve">WS281x 1-wire channels, if the controller has a hard or suggested practical limit.
This column is poorly defined. Any suggestions welcomed</t>
      </text>
    </comment>
    <comment authorId="0" ref="L1">
      <text>
        <t xml:space="preserve">Maximum Input Voltage that this product can run from.</t>
      </text>
    </comment>
    <comment authorId="0" ref="N1">
      <text>
        <t xml:space="preserve">Can this device be a USB Device or maybe even a USB Host?</t>
      </text>
    </comment>
    <comment authorId="0" ref="U1">
      <text>
        <t xml:space="preserve">Battery Management System</t>
      </text>
    </comment>
    <comment authorId="0" ref="V1">
      <text>
        <t xml:space="preserve">Inertial Measurement Unit</t>
      </text>
    </comment>
    <comment authorId="0" ref="N12">
      <text>
        <t xml:space="preserve">CP2104</t>
      </text>
    </comment>
    <comment authorId="0" ref="N15">
      <text>
        <t xml:space="preserve">CH340T</t>
      </text>
    </comment>
    <comment authorId="0" ref="M16">
      <text>
        <t xml:space="preserve">1 GPIO has 5V output
</t>
      </text>
    </comment>
    <comment authorId="0" ref="J18">
      <text>
        <t xml:space="preserve">Theoretically it could have many more but the common library for efficient hardware usage is limited to 8
</t>
      </text>
    </comment>
    <comment authorId="0" ref="G19">
      <text>
        <t xml:space="preserve">64kB reserved for recovery &amp; EEPROM emulation</t>
      </text>
    </comment>
    <comment authorId="0" ref="H19">
      <text>
        <t xml:space="preserve">512kB is "tightly coupled"</t>
      </text>
    </comment>
    <comment authorId="0" ref="G23">
      <text>
        <t xml:space="preserve">256kB reserved for recovery &amp; EEPROM emulation</t>
      </text>
    </comment>
    <comment authorId="0" ref="H23">
      <text>
        <t xml:space="preserve">512kB is "tightly coupled"</t>
      </text>
    </comment>
    <comment authorId="0" ref="J24">
      <text>
        <t xml:space="preserve">Software can make 1 PWM pin generate correct outputs for WS2812 with DMA
</t>
      </text>
    </comment>
    <comment authorId="0" ref="J25">
      <text>
        <t xml:space="preserve">Software can make 1 PWM pin generate correct outputs for WS2812 with DMA
</t>
      </text>
    </comment>
    <comment authorId="0" ref="J26">
      <text>
        <t xml:space="preserve">Software can make 1 PWM pin generate correct outputs for WS2812 with DMA
</t>
      </text>
    </comment>
    <comment authorId="0" ref="J27">
      <text>
        <t xml:space="preserve">Software can make 1 PWM pin generate correct outputs for WS2812 with DMA
</t>
      </text>
    </comment>
    <comment authorId="0" ref="J28">
      <text>
        <t xml:space="preserve">Software can make 1 PWM pin generate correct outputs for WS2812 with DMA
</t>
      </text>
    </comment>
    <comment authorId="0" ref="J29">
      <text>
        <t xml:space="preserve">Software can make 1 PWM pin generate correct outputs for WS2812 with DMA
</t>
      </text>
    </comment>
    <comment authorId="0" ref="J30">
      <text>
        <t xml:space="preserve">Software can make 1 PWM pin generate correct outputs for WS2812 with DMA
</t>
      </text>
    </comment>
    <comment authorId="0" ref="J31">
      <text>
        <t xml:space="preserve">Software can make 1 PWM pin generate correct outputs for WS2812 with DMA
</t>
      </text>
    </comment>
    <comment authorId="0" ref="J32">
      <text>
        <t xml:space="preserve">Software can make 1 PWM pin generate correct outputs for WS2812 with DMA
</t>
      </text>
    </comment>
    <comment authorId="0" ref="J34">
      <text>
        <t xml:space="preserve">Software can make 1 PWM pin generate correct outputs for WS2812 with DMA
</t>
      </text>
    </comment>
    <comment authorId="0" ref="R34">
      <text>
        <t xml:space="preserve">Over USB 2.0 (300Mbps)</t>
      </text>
    </comment>
    <comment authorId="1" xr:uid="{04f1cef0-c7a1-443d-acdf-af6737204f3e}" ref="A1">
      <text>
        <t xml:space="preserve">[Threaded comment]
 Your version of Excel allows you to read this threaded comment; however, any edits to it will get removed if the file is opened in a newer version of Excel. Learn more: https://go.microsoft.com/fwlink/?linkid=870924
Comment:
	@cinderblock63@gmail.com bad edit March 16th most of diffusion tab wiped
Reply:
	@ledlight@gmail.com Looks like it was just a filter that was turned on
</t>
      </text>
    </comment>
    <comment authorId="2" xr:uid="{42850fa8-7893-4cef-9013-2d24df359c19}" ref="I19">
      <text>
        <t xml:space="preserve">[Threaded comment]
 Your version of Excel allows you to read this threaded comment; however, any edits to it will get removed if the file is opened in a newer version of Excel. Learn more: https://go.microsoft.com/fwlink/?linkid=870924
Comment:
	Why was this "Yes"? Is there some micro linux that can run on Teensy?
</t>
      </text>
    </comment>
    <comment authorId="3" xr:uid="{479e908a-3cd6-4cfd-bdc9-c10e993b1d3b}" ref="A15">
      <text>
        <t xml:space="preserve">[Threaded comment]
 Your version of Excel allows you to read this threaded comment; however, any edits to it will get removed if the file is opened in a newer version of Excel. Learn more: https://go.microsoft.com/fwlink/?linkid=870924
Comment:
	anyone want to sketch in more detail about these wired esp 32 boards
</t>
      </text>
    </comment>
    <comment authorId="4" xr:uid="{a973a002-7c1e-4349-92a9-f7d4b5c21dfa}" ref="J18">
      <text>
        <t xml:space="preserve">[Threaded comment]
 Your version of Excel allows you to read this threaded comment; however, any edits to it will get removed if the file is opened in a newer version of Excel. Learn more: https://go.microsoft.com/fwlink/?linkid=870924
Comment:
	Theoretically it could have many more but the common library for efficient hardware usage is limited to 8
</t>
      </text>
    </comment>
    <comment authorId="5" xr:uid="{fbb9fc77-6115-46ab-b02b-d0596922582e}" ref="A18">
      <text>
        <t xml:space="preserve">[Threaded comment]
 Your version of Excel allows you to read this threaded comment; however, any edits to it will get removed if the file is opened in a newer version of Excel. Learn more: https://go.microsoft.com/fwlink/?linkid=870924
Comment:
	Do Teensy and other microcontrollers belong on this Sheet? We need a way to distinguish that they need a little more DIY/Programming to be used as a pixel controller.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tc={32456163-7a7f-4778-9763-927025d6b979}</author>
    <author>tc={34c095e2-3726-4a26-a6df-aee45a313386}</author>
    <author>tc={9732d581-3924-4cc4-ad57-699c03929f95}</author>
    <author>tc={ce2d226f-9b16-45c5-bad8-f2d55a998b0a}</author>
  </authors>
  <commentList>
    <comment authorId="0" ref="R2">
      <text>
        <t xml:space="preserve">Proper crimp tool over 400 USD</t>
      </text>
    </comment>
    <comment authorId="0" ref="G18">
      <text>
        <t xml:space="preserve">IP65 in Plastic Shell Variant
</t>
      </text>
    </comment>
    <comment authorId="0" ref="E22">
      <text>
        <t xml:space="preserve">15 A for lower pin count
</t>
      </text>
    </comment>
    <comment authorId="0" ref="E31">
      <text>
        <t xml:space="preserve">16A True1 Top 20A Powercon 32A bigPowercon 
</t>
      </text>
    </comment>
    <comment authorId="0" ref="G31">
      <text>
        <t xml:space="preserve">True1 TOP</t>
      </text>
    </comment>
    <comment authorId="0" ref="J31">
      <text>
        <t xml:space="preserve">True 1 only, Powercon requires back to back adapter
</t>
      </text>
    </comment>
    <comment authorId="0" ref="E40">
      <text>
        <t xml:space="preserve">50A in High Current Range
</t>
      </text>
    </comment>
    <comment authorId="0" ref="G40">
      <text>
        <t xml:space="preserve">IP54 with sealing ring on some variants
</t>
      </text>
    </comment>
    <comment authorId="0" ref="G42">
      <text>
        <t xml:space="preserve">SpecPak shells and boots for waterproofing
</t>
      </text>
    </comment>
    <comment authorId="1" xr:uid="{32456163-7a7f-4778-9763-927025d6b979}" ref="AB1">
      <text>
        <t xml:space="preserve">[Threaded comment]
 Your version of Excel allows you to read this threaded comment; however, any edits to it will get removed if the file is opened in a newer version of Excel. Learn more: https://go.microsoft.com/fwlink/?linkid=870924
Comment:
	If someone has a more clear naming scheme here, I'm all ears
Reply:
	Marked as resolved
Reply:
	Re-opened
</t>
      </text>
    </comment>
    <comment authorId="2" xr:uid="{34c095e2-3726-4a26-a6df-aee45a313386}" ref="A1">
      <text>
        <t xml:space="preserve">[Threaded comment]
 Your version of Excel allows you to read this threaded comment; however, any edits to it will get removed if the file is opened in a newer version of Excel. Learn more: https://go.microsoft.com/fwlink/?linkid=870924
Comment:
	This is a new tab. Extended it as is helpful.
</t>
      </text>
    </comment>
    <comment authorId="3" xr:uid="{9732d581-3924-4cc4-ad57-699c03929f95}" ref="B25">
      <text>
        <t xml:space="preserve">[Threaded comment]
 Your version of Excel allows you to read this threaded comment; however, any edits to it will get removed if the file is opened in a newer version of Excel. Learn more: https://go.microsoft.com/fwlink/?linkid=870924
Comment:
	Someone please add details for the commonly used connectors. I personally dislike them... specifically because of the screw clamps, but they deserve to be listed
</t>
      </text>
    </comment>
    <comment authorId="4" xr:uid="{ce2d226f-9b16-45c5-bad8-f2d55a998b0a}" ref="E22">
      <text>
        <t xml:space="preserve">[Threaded comment]
 Your version of Excel allows you to read this threaded comment; however, any edits to it will get removed if the file is opened in a newer version of Excel. Learn more: https://go.microsoft.com/fwlink/?linkid=870924
Comment:
	Or maybe 15??
Reply:
	only 15 in lower pin counts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Tinted Materials will always block more light than transparent Rated 5-1 , 5 most transparent to 1 most opaque
</t>
      </text>
    </comment>
    <comment authorId="0" ref="F1">
      <text>
        <t xml:space="preserve">Manufactured as light diffuser
</t>
      </text>
    </comment>
    <comment authorId="0" ref="I1">
      <text>
        <t xml:space="preserve">Tinted including Opal white or 
colour tint to change colour temp. Clear will rely entirely on refraction for diffusion, micro lenses or prisms. Higher cost options generally have higher transmission and or beam control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tc={d11b9af9-dad2-4121-bbc5-c7f348851d36}</author>
  </authors>
  <commentList>
    <comment authorId="0" ref="J1">
      <text>
        <t xml:space="preserve">Year</t>
      </text>
    </comment>
    <comment authorId="0" ref="D2">
      <text>
        <t xml:space="preserve">13 bit current not PWM control</t>
      </text>
    </comment>
    <comment authorId="1" xr:uid="{d11b9af9-dad2-4121-bbc5-c7f348851d36}" ref="L8">
      <text>
        <t xml:space="preserve">[Threaded comment]
 Your version of Excel allows you to read this threaded comment; however, any edits to it will get removed if the file is opened in a newer version of Excel. Learn more: https://go.microsoft.com/fwlink/?linkid=870924
Comment:
	added commercial pixel tab, didnt seem to fit easily in other tabs but helps to have wide overview
Reply:
	I like it. Would it be appropriate to add pricing information?
Reply:
	Where available...Glasson are quote only land, need to be sitting down😉
</t>
      </text>
    </comment>
  </commentList>
</comments>
</file>

<file path=xl/sharedStrings.xml><?xml version="1.0" encoding="utf-8"?>
<sst xmlns="http://schemas.openxmlformats.org/spreadsheetml/2006/main" count="5154" uniqueCount="2125">
  <si>
    <t>Hello</t>
  </si>
  <si>
    <t>We hope you find these lists useful. If there is something that should be added, please do so!</t>
  </si>
  <si>
    <t>There are many empty cells. Some are empty because they don't make sense. The rest are empty because the data has not been filled in. Please fill in missing data!</t>
  </si>
  <si>
    <t>Cells highlighted like this need to be verified. Please help do so.</t>
  </si>
  <si>
    <t>Cells highlighted like this are likely missing data that should be easy to fill in. Please help do so.</t>
  </si>
  <si>
    <t>We realize that not everything perfectly fits into the categories we're definining. If it makes sense to add a new category, it will be added. However we should discuss this first.</t>
  </si>
  <si>
    <t>Current URLs</t>
  </si>
  <si>
    <t>http://awesomeledlist.com</t>
  </si>
  <si>
    <t>https://docs.google.com/spreadsheets/d/10pHG7_VIVltyqJK1Y0T5g3Iq6YJV2MnhMp3UcAVB-GA</t>
  </si>
  <si>
    <t>Editing</t>
  </si>
  <si>
    <t>This document is editable. Please help improve it. Unfortunately, we've had an incident where it looks like someone accidentally deleted a column. No big deal. Please watch out!</t>
  </si>
  <si>
    <t>If we have more bad edits in the future, we can always undo. Unfortunately might lose changes from after the bad edit too...</t>
  </si>
  <si>
    <r>
      <rPr>
        <rFont val="Arial"/>
        <color theme="1"/>
      </rPr>
      <t xml:space="preserve">Per-cell </t>
    </r>
    <r>
      <rPr>
        <rFont val="Arial"/>
        <b/>
        <color theme="1"/>
      </rPr>
      <t>formatting</t>
    </r>
    <r>
      <rPr>
        <rFont val="Arial"/>
        <color theme="1"/>
      </rPr>
      <t xml:space="preserve"> should be very rare, if ever used. </t>
    </r>
    <r>
      <rPr>
        <rFont val="Arial"/>
        <b/>
        <color theme="1"/>
      </rPr>
      <t>Never</t>
    </r>
    <r>
      <rPr>
        <rFont val="Arial"/>
        <color theme="1"/>
      </rPr>
      <t xml:space="preserve"> change the text color to look like adjacent cells. Add a URL or leave it.</t>
    </r>
  </si>
  <si>
    <t>If you find you cannot edit the sheet, I probably messed up. It's apparently relatively easy to accidentally lock this whole document. I think it has to do with the iOS sheets app and copyig the link from there. Please shoot me an email if I accidentally lock it down.</t>
  </si>
  <si>
    <t>Tabs</t>
  </si>
  <si>
    <t>We've created a bunch of tabs to organize the various lists. Don't forget to scroll and check other lists!</t>
  </si>
  <si>
    <t>Pattern Drivers</t>
  </si>
  <si>
    <t>High level software that sends data to "controllers".</t>
  </si>
  <si>
    <t>Controllers</t>
  </si>
  <si>
    <t>Things that can generate the specific timings &amp; packet formats needed to drive many addressible LEDs. Controllers usually can hold and repeat at least one frame.</t>
  </si>
  <si>
    <t>Pixels</t>
  </si>
  <si>
    <t>Addressible LEDs. The innovation that enabled this world of wonder.</t>
  </si>
  <si>
    <t>Pixel ICs</t>
  </si>
  <si>
    <t>The main chip usually embeded into Pixels as a standalone component. Should not include LEDs.</t>
  </si>
  <si>
    <t>Pixel Decoders</t>
  </si>
  <si>
    <t>Devices that are not meant for driving pixels directly but are capable of sharing the same standard communication standards that addressable pixels use.</t>
  </si>
  <si>
    <t>Level Converters</t>
  </si>
  <si>
    <t>Dumb memory-less devices that translate to pixel data from another format</t>
  </si>
  <si>
    <t>Adapters</t>
  </si>
  <si>
    <t>Someting that aids the hardware compatibility between some (usually commodity) "controller" hardware and the light strings/panels. Likely cannot hold a frame on its own.</t>
  </si>
  <si>
    <t>DIY MicroBoards</t>
  </si>
  <si>
    <t>Useful microprocessors boards that can (usually) be used directly with certain pixel types. Pairing with an "adapter" is common.</t>
  </si>
  <si>
    <t>Connectors</t>
  </si>
  <si>
    <t>Connectors that are commonly used in LED products</t>
  </si>
  <si>
    <t>Drive Libraries</t>
  </si>
  <si>
    <t>Software to turn off the shelf or commodity hardware into "controllers".</t>
  </si>
  <si>
    <t>Diffusive Materials</t>
  </si>
  <si>
    <t>Materials that the community has tested as a light diffuser.</t>
  </si>
  <si>
    <t>Commercial Pixel Systems</t>
  </si>
  <si>
    <t>Complete systems that are usually mostly only compatible with a closed ecosystem. Often, but not only, based on the same common technologies but "cleaned up", "easy to use", or provided as a service.</t>
  </si>
  <si>
    <t>Many Thanks to Mr Cameron Tacklind for starting this doc :-)</t>
  </si>
  <si>
    <t>Tidiness</t>
  </si>
  <si>
    <t>Please endeavor to keep consistent formatting throughout this document. Please fix any inconsistencies you find.</t>
  </si>
  <si>
    <t>Commas are list separators. Periods are decimal separators. Use the Oxford comma.</t>
  </si>
  <si>
    <t>Numerically comparable columns should only contain numbers in the cells. We use a "custom number format" to append the appropriate units for display purposes.</t>
  </si>
  <si>
    <t>Remove all formatting when adding information.</t>
  </si>
  <si>
    <t>Filters</t>
  </si>
  <si>
    <t>Most pages are setup with filters on columns. If you use them, please reset selection to "all" once you're done. Alternatively, make a copy of the whole document for yourself.</t>
  </si>
  <si>
    <t>Notes</t>
  </si>
  <si>
    <t>Please use "Notes", the Google Sheets feature (not the column), for "extra" information about specific cells.</t>
  </si>
  <si>
    <t>Discussion</t>
  </si>
  <si>
    <t>If there are possibly contentious changes or you're unsure about any changes you've made or would like to make, please use a "Comment".</t>
  </si>
  <si>
    <t>Legal</t>
  </si>
  <si>
    <t>I am not a lawyer but consider any information you find here to be presented "as-is" and has no guarantee of being correct. If you post any information here, consider it released to the public and not under your control.</t>
  </si>
  <si>
    <t>Developer</t>
  </si>
  <si>
    <t>Price</t>
  </si>
  <si>
    <t>Platform</t>
  </si>
  <si>
    <t>Live</t>
  </si>
  <si>
    <t>Designer</t>
  </si>
  <si>
    <t>Visualizer</t>
  </si>
  <si>
    <t>ArtNet</t>
  </si>
  <si>
    <t>E1.31 sACN</t>
  </si>
  <si>
    <t>DMX</t>
  </si>
  <si>
    <t>KiNet</t>
  </si>
  <si>
    <t>DDP</t>
  </si>
  <si>
    <t>GPIO</t>
  </si>
  <si>
    <t>Serial</t>
  </si>
  <si>
    <t>Video</t>
  </si>
  <si>
    <t>Audio</t>
  </si>
  <si>
    <t>Programmatic</t>
  </si>
  <si>
    <t>Language</t>
  </si>
  <si>
    <t>Other Inputs</t>
  </si>
  <si>
    <t>Other Outputs</t>
  </si>
  <si>
    <t>Integrations</t>
  </si>
  <si>
    <t>Demo/Free</t>
  </si>
  <si>
    <t>Status</t>
  </si>
  <si>
    <t>URL</t>
  </si>
  <si>
    <t>Allpixmatrix</t>
  </si>
  <si>
    <t>NLED</t>
  </si>
  <si>
    <t>Windows</t>
  </si>
  <si>
    <t xml:space="preserve">No </t>
  </si>
  <si>
    <t>Yes</t>
  </si>
  <si>
    <t>Input</t>
  </si>
  <si>
    <t>glediator files, pixel data</t>
  </si>
  <si>
    <t>https://github.com/NLED/allpixmatrix</t>
  </si>
  <si>
    <t>ArKaos S.A.</t>
  </si>
  <si>
    <t>Klingnet</t>
  </si>
  <si>
    <t>Active</t>
  </si>
  <si>
    <t>https://www.arkaos.com/</t>
  </si>
  <si>
    <t>Arthet LED Mapper</t>
  </si>
  <si>
    <t xml:space="preserve">cyberboy666
</t>
  </si>
  <si>
    <t>Free</t>
  </si>
  <si>
    <t>ubuntu, windows, mac and arm64</t>
  </si>
  <si>
    <t>no</t>
  </si>
  <si>
    <t>yes</t>
  </si>
  <si>
    <t>Output</t>
  </si>
  <si>
    <t>input video from connected devices (webcams, capture cards etc) or over NDI,  output artnet across multiple universes</t>
  </si>
  <si>
    <t>Bekonix</t>
  </si>
  <si>
    <t>Bekonix ex Rocketlife</t>
  </si>
  <si>
    <t>Free- $99</t>
  </si>
  <si>
    <t>Windows, macOS</t>
  </si>
  <si>
    <t>2D</t>
  </si>
  <si>
    <t>Both</t>
  </si>
  <si>
    <t>NRF52840 target board Adafruit or Ebyte board</t>
  </si>
  <si>
    <t>Rocketlife reborn.</t>
  </si>
  <si>
    <t>Demo</t>
  </si>
  <si>
    <t>https://www.bekonix.com/platform/</t>
  </si>
  <si>
    <t>BenTo</t>
  </si>
  <si>
    <t>Benjamin Kuperberg</t>
  </si>
  <si>
    <t>Windows, macOS, Linux, Raspberry Pi</t>
  </si>
  <si>
    <t>Javascript</t>
  </si>
  <si>
    <t>OSC, OSCQuery</t>
  </si>
  <si>
    <t>http://github.com/benkuper/BenTo</t>
  </si>
  <si>
    <t>Blux</t>
  </si>
  <si>
    <t>OSC, OSCQuery, MIDI</t>
  </si>
  <si>
    <t>http://benjamin.kuperberg.fr/blux</t>
  </si>
  <si>
    <t>Chataigne</t>
  </si>
  <si>
    <t>OSC, OSCQuery, Midi, Serial, TCP, UDP, HTTP, MQTT, GPIO, AbletonLive, Stream Deck...</t>
  </si>
  <si>
    <t>Software `conductor` for live and timecode, interface with a lot of protocols</t>
  </si>
  <si>
    <t>http://benjamin.kuperberg.fr/chataigne/en</t>
  </si>
  <si>
    <t>Chataigne Wled Mod</t>
  </si>
  <si>
    <t>Zak-45</t>
  </si>
  <si>
    <t>Plug on for vcontrol of WLED, other WLED plugins from same developer on Githhub</t>
  </si>
  <si>
    <t>https://github.com/zak-45</t>
  </si>
  <si>
    <t>Chromatik</t>
  </si>
  <si>
    <t>Mark C Slee</t>
  </si>
  <si>
    <t>Free - 399</t>
  </si>
  <si>
    <t>Windows MacOS</t>
  </si>
  <si>
    <t xml:space="preserve">Yes </t>
  </si>
  <si>
    <t>3D</t>
  </si>
  <si>
    <t>Possible</t>
  </si>
  <si>
    <t>MIDI , OSC, DMX</t>
  </si>
  <si>
    <t>VJ like live control, extensive support for 3D animation matrices Succesor to LX Studio</t>
  </si>
  <si>
    <t>&lt;1000 LEDs free, various paid options</t>
  </si>
  <si>
    <t>Dylos</t>
  </si>
  <si>
    <t>Obsidian</t>
  </si>
  <si>
    <t>Free 1 universe</t>
  </si>
  <si>
    <t>Yes Basic 2D</t>
  </si>
  <si>
    <t>MIDI, OSC</t>
  </si>
  <si>
    <t>Obsidian Onyx</t>
  </si>
  <si>
    <r>
      <rPr/>
      <t xml:space="preserve">Free for 2 DMX universes and 4 Dylos RGB Pixel zones via Artnet </t>
    </r>
    <r>
      <rPr>
        <color rgb="FF1155CC"/>
        <u/>
      </rPr>
      <t>https://support.obsidiancontrol.com/Content/Onyx/Onyx_PC_Modes.htm</t>
    </r>
  </si>
  <si>
    <t>Limited Demo</t>
  </si>
  <si>
    <t>https://obsidiancontrol.com/dylos</t>
  </si>
  <si>
    <t>ENTTEC</t>
  </si>
  <si>
    <t>OSC, Spout, NDI</t>
  </si>
  <si>
    <t>NDI, DVI</t>
  </si>
  <si>
    <t>Triggering via HTTP/OSC/Art-net/sACN/DMX</t>
  </si>
  <si>
    <t>Triggering via RS232/GPIO/UDP available thru S-Play controller</t>
  </si>
  <si>
    <t>Nag for free one</t>
  </si>
  <si>
    <t>https://www.enttec.co.uk/product/controls-gb/addressable-led-pixel-control-gb/pixel-mapping-software/</t>
  </si>
  <si>
    <t xml:space="preserve">Faith Chapel </t>
  </si>
  <si>
    <t>Faith Chapel</t>
  </si>
  <si>
    <t>NDI, SDI, Midi</t>
  </si>
  <si>
    <t>LED Media server from console</t>
  </si>
  <si>
    <t>Developed for Houses of Worship originally</t>
  </si>
  <si>
    <t>https://resources.faithchapel.cc/blogs/pixel_mapping_software?fbclid=IwAR0I3imz0gy7R6-_x8hWD8CO6qJEM2o2P_KXTdmkpRUYbOaWYssicnD2IIE</t>
  </si>
  <si>
    <t>Raspberry Pi, Beagle Bone, macOS, Linux</t>
  </si>
  <si>
    <t>No</t>
  </si>
  <si>
    <t>Pixelnet,Renard</t>
  </si>
  <si>
    <t>Pixelnet, Renard, UDP, HTTP, MQTT</t>
  </si>
  <si>
    <t>OSC, MIDI, Home Assistant, RemoteFalcon, plugins</t>
  </si>
  <si>
    <t>FPP + RasPi/BBB = playback box</t>
  </si>
  <si>
    <t>https://github.com/FalconChristmas/fpp</t>
  </si>
  <si>
    <t>Enviral Design</t>
  </si>
  <si>
    <t>Windows (TouchDesigner)</t>
  </si>
  <si>
    <t>MIDI, OSC, MQTT</t>
  </si>
  <si>
    <t>MIDI</t>
  </si>
  <si>
    <t>Open Source</t>
  </si>
  <si>
    <t>https://www.geopix.io/</t>
  </si>
  <si>
    <t>beta release, not supported</t>
  </si>
  <si>
    <t>Limited</t>
  </si>
  <si>
    <t>https://www.enviral-design.com/</t>
  </si>
  <si>
    <t>tpm2</t>
  </si>
  <si>
    <t>mini, tpm2, Glediator, DVI</t>
  </si>
  <si>
    <t>Development ceased</t>
  </si>
  <si>
    <t>No Development</t>
  </si>
  <si>
    <t>http://www.live-leds.de</t>
  </si>
  <si>
    <t>Jinx!</t>
  </si>
  <si>
    <t>Solderlab.de</t>
  </si>
  <si>
    <t>Windows, Linux</t>
  </si>
  <si>
    <t>Should be solderlab.de (which is down)</t>
  </si>
  <si>
    <t>Basically a mapper/pattern generator for microcontrollers with pixels. Development ceased</t>
  </si>
  <si>
    <t>https://oneguyoneblog.com/download/glediator-v2-0-3/</t>
  </si>
  <si>
    <t>Christopher Schardt</t>
  </si>
  <si>
    <t>iOS</t>
  </si>
  <si>
    <t>audio (input / playback), video, MIDI, /, OSC</t>
  </si>
  <si>
    <t>DDP/Minleon/TekLights, OpenPixel</t>
  </si>
  <si>
    <t>PixelPusher, RGB-123, FadeCandy/FCServer</t>
  </si>
  <si>
    <t>In App purchases</t>
  </si>
  <si>
    <t>https://apps.apple.com/us/app/l-e-d-lab/id832042156</t>
  </si>
  <si>
    <t>LED Strip Studio Software</t>
  </si>
  <si>
    <t>LED Strip Studio</t>
  </si>
  <si>
    <t>MIDI, OSC, CMD Line, DMX</t>
  </si>
  <si>
    <t>Proprietary compressed LSS protocol for LSS controllers</t>
  </si>
  <si>
    <t xml:space="preserve">Use any video as animation, Picture grabber, BlackMagic grabber, </t>
  </si>
  <si>
    <t>Free demo - No output</t>
  </si>
  <si>
    <t>https://www.ledstripstudio.com/addressable-led-pixel-mapping-software/</t>
  </si>
  <si>
    <t>Desktop</t>
  </si>
  <si>
    <t>T/K 1000 Player</t>
  </si>
  <si>
    <t>K1000 LED player editing program</t>
  </si>
  <si>
    <t>https://learnitstepbystep.blogspot.com/2018/07/download-led-edit-2014-2016-2017-2018.html</t>
  </si>
  <si>
    <t>LedFx</t>
  </si>
  <si>
    <t>Yeon V, M Bowley, community</t>
  </si>
  <si>
    <t>Windows, Linux, macOS</t>
  </si>
  <si>
    <t>Python</t>
  </si>
  <si>
    <t>UDP</t>
  </si>
  <si>
    <t>Python based. A programming environment to sync musical effects across a network of LED pixel controllers</t>
  </si>
  <si>
    <t xml:space="preserve">https://github.com/LedFx/LedFx </t>
  </si>
  <si>
    <t>LEDs Master</t>
  </si>
  <si>
    <t>Antoine Doussaud</t>
  </si>
  <si>
    <t>Windows, macOS, Linux, Android, &amp; IOS</t>
  </si>
  <si>
    <t>You can load shaders, musics, microphone, videos and custom scripts to create live animation.</t>
  </si>
  <si>
    <t>https://antoine.doussaud.org/leds_master</t>
  </si>
  <si>
    <t>RocketLife</t>
  </si>
  <si>
    <t>GPIO pins</t>
  </si>
  <si>
    <t>Bluetooth/NFC to RocketLife hardware</t>
  </si>
  <si>
    <t>LightBox&amp;LightBoard Mini</t>
  </si>
  <si>
    <t>RocketLife controllers, serial/SPI pixels only</t>
  </si>
  <si>
    <t>Dead SEE Bekonix</t>
  </si>
  <si>
    <t>https://www.rocketlife.com/technology/</t>
  </si>
  <si>
    <t>Lightjams</t>
  </si>
  <si>
    <t>Lightjams Inc</t>
  </si>
  <si>
    <t>125 - 450</t>
  </si>
  <si>
    <t>MIDI,OSC,Spout,Syphon, Ambilight</t>
  </si>
  <si>
    <t>ELM developed by same developer</t>
  </si>
  <si>
    <t>Demo available</t>
  </si>
  <si>
    <t>https://www.lightjams.com/</t>
  </si>
  <si>
    <t>iOS, Android</t>
  </si>
  <si>
    <t>Lumiastream</t>
  </si>
  <si>
    <t>Free- $30/month</t>
  </si>
  <si>
    <t>Windows macOS</t>
  </si>
  <si>
    <t>viewer controlled stream responsive control</t>
  </si>
  <si>
    <t>Tuya, Govee,Hue, Nano, etc home automation and ArtNet</t>
  </si>
  <si>
    <t>Home Assistant</t>
  </si>
  <si>
    <t>Viewer control of IoT objects for streaming, aome integrated automation</t>
  </si>
  <si>
    <t>Free  / premiumn Monthly</t>
  </si>
  <si>
    <t>https://lumiastream.com/</t>
  </si>
  <si>
    <t>LX Studio / Chromatik</t>
  </si>
  <si>
    <t>Mark Slee</t>
  </si>
  <si>
    <t>Windows, macOS, Linux</t>
  </si>
  <si>
    <t>Java</t>
  </si>
  <si>
    <t>Any</t>
  </si>
  <si>
    <t>DDP, OPC, Fadecandy</t>
  </si>
  <si>
    <t>Java. Next version (Chromatik) will no longer use the Processing graphics library.</t>
  </si>
  <si>
    <t>Open source. Comercial applications require license</t>
  </si>
  <si>
    <t>https://lx.studio/</t>
  </si>
  <si>
    <t>Smode Tech</t>
  </si>
  <si>
    <t>MIDI,OSC,Spout,Syphon,NDI</t>
  </si>
  <si>
    <t>MIDI, OSC, EtherDream, Arduino</t>
  </si>
  <si>
    <t>Alive</t>
  </si>
  <si>
    <t xml:space="preserve">https://madmapper.com/madmapper/ </t>
  </si>
  <si>
    <t>Inoage</t>
  </si>
  <si>
    <t>330+</t>
  </si>
  <si>
    <t>MIDI, HTTP, MA-net, CITP, SMPTE, Spout, GamePort</t>
  </si>
  <si>
    <t>DVI, Robe, Insta, Hue</t>
  </si>
  <si>
    <t>GPIO available with Madrix Orion external box</t>
  </si>
  <si>
    <t>Demo no data out</t>
  </si>
  <si>
    <t>https://www.madrix.com/products/software</t>
  </si>
  <si>
    <t>MagicQ</t>
  </si>
  <si>
    <t>Chamsys Systems</t>
  </si>
  <si>
    <t>Free 64 universes</t>
  </si>
  <si>
    <t>MagicQ Professional stage lighting console with Pixel Mapping ability, software version of hardware console</t>
  </si>
  <si>
    <t>Demo 64 Universes via ArtNet</t>
  </si>
  <si>
    <t>https://chamsyslighting.com/</t>
  </si>
  <si>
    <t>Mapio Pro</t>
  </si>
  <si>
    <t>Vistitution</t>
  </si>
  <si>
    <t>Windows , macOS</t>
  </si>
  <si>
    <t>Native support for PixelPusher devices</t>
  </si>
  <si>
    <t>Mapio Pro has support for addressable LEDs</t>
  </si>
  <si>
    <t>Watermarked demo</t>
  </si>
  <si>
    <t>https://visution.com/</t>
  </si>
  <si>
    <t>Millumin</t>
  </si>
  <si>
    <t>Anomes SARL</t>
  </si>
  <si>
    <t>39/week +</t>
  </si>
  <si>
    <t>macOS</t>
  </si>
  <si>
    <t>30 day trial</t>
  </si>
  <si>
    <r>
      <rPr>
        <color rgb="FF1155CC"/>
        <u/>
      </rPr>
      <t>https://www.millumin.com/</t>
    </r>
    <r>
      <rPr/>
      <t>/</t>
    </r>
  </si>
  <si>
    <t>Pixelblaze</t>
  </si>
  <si>
    <t>ElectroMage</t>
  </si>
  <si>
    <t>Pixelblaze (in-browser)</t>
  </si>
  <si>
    <t>JS subset</t>
  </si>
  <si>
    <t>Websockets, ADC</t>
  </si>
  <si>
    <t>Direct or expansion board 8-64 channels</t>
  </si>
  <si>
    <t>Home Assistant, Hubitat, Pixelblaze</t>
  </si>
  <si>
    <t>Includes 2D/3D mapping, sound reactive, and scriptable pattern UI controls</t>
  </si>
  <si>
    <t>w/PixelBlaze purchase</t>
  </si>
  <si>
    <t>https://electromage.com/pixelblaze/</t>
  </si>
  <si>
    <t>ProtoPixel</t>
  </si>
  <si>
    <t>OSC, NDI, Syphon, UDP</t>
  </si>
  <si>
    <t>ProtoPixel proprietary protocol, OSC, UDP</t>
  </si>
  <si>
    <t>Python (scriptable)</t>
  </si>
  <si>
    <t>Trial + watermark</t>
  </si>
  <si>
    <t>https://www.protopixel.io/design</t>
  </si>
  <si>
    <t>Massimo Calegari</t>
  </si>
  <si>
    <t>3D view available in V5</t>
  </si>
  <si>
    <t>C++</t>
  </si>
  <si>
    <t>OSC, MIDI, Web API</t>
  </si>
  <si>
    <t>USB, OSC</t>
  </si>
  <si>
    <r>
      <rPr/>
      <t xml:space="preserve">Supported MIDI/DMX Hardware List: </t>
    </r>
    <r>
      <rPr>
        <color rgb="FF1155CC"/>
        <u/>
      </rPr>
      <t>https://www.qlcplus.org/discover/compatibility</t>
    </r>
  </si>
  <si>
    <t xml:space="preserve">Includes sound responsive features. Large fixture compatablity list. </t>
  </si>
  <si>
    <t>€15 Donation requested</t>
  </si>
  <si>
    <t>https://www.qlcplus.org/</t>
  </si>
  <si>
    <t>MIDI,OSC,Spout,Syphon</t>
  </si>
  <si>
    <t>heavily integrated with VJ features</t>
  </si>
  <si>
    <t>https://resolume.com/software</t>
  </si>
  <si>
    <t>Expensive</t>
  </si>
  <si>
    <t>MIDI, OSC, UDP, SMPTE, Spout, Game Port</t>
  </si>
  <si>
    <t>OSC, MIDI, UDP, Spout, NDI</t>
  </si>
  <si>
    <t>This application is more of a game engine crossed with a volumetric mapping solution. 3D mapping</t>
  </si>
  <si>
    <t>Free for SD card output</t>
  </si>
  <si>
    <t>https://smode.fr/</t>
  </si>
  <si>
    <t>TouchDesigner</t>
  </si>
  <si>
    <t>Derivative</t>
  </si>
  <si>
    <t>Free/$600</t>
  </si>
  <si>
    <t>Windows, MacOS</t>
  </si>
  <si>
    <t>Yes, DIY</t>
  </si>
  <si>
    <t>Python, GLSL</t>
  </si>
  <si>
    <t>MIDI, OSC, MQTT, NDI, Syphon/Spout, TCP, UDP, Ableton, SMPTE/LTC</t>
  </si>
  <si>
    <t>MIDI, OSC, MQTT, NDI, Syphon/Spout, TCP, UDP, Ableton</t>
  </si>
  <si>
    <t>Tons</t>
  </si>
  <si>
    <t>Visual programming environment with lots of useful built-ins. Not specifically for LED patterns, but they're easy to make with a little extra.</t>
  </si>
  <si>
    <t>Free for non-commercial</t>
  </si>
  <si>
    <t>https://derivative.ca/</t>
  </si>
  <si>
    <t>Renard</t>
  </si>
  <si>
    <t>like xlights, initially developed for holiday light sequences</t>
  </si>
  <si>
    <t>https://www.vixenlights.com/downloads/</t>
  </si>
  <si>
    <t>WLED</t>
  </si>
  <si>
    <t>Aircoookie, community</t>
  </si>
  <si>
    <t>ESP8266/ESP32</t>
  </si>
  <si>
    <t>Limited 1D</t>
  </si>
  <si>
    <t>UDP Sync</t>
  </si>
  <si>
    <t>ws281x protocol, APA102, etc.</t>
  </si>
  <si>
    <t>Home Assistant, WLED App.</t>
  </si>
  <si>
    <t>Great standalone pixel controller software for ESP8266 and ESP32 based boards. See also: WLED-SR, sound reactive fork</t>
  </si>
  <si>
    <t>Open source</t>
  </si>
  <si>
    <t>GitHub - Aircoookie/WLED: Control WS2812B and many more types of digital RGB LEDs with an ESP8266 or ESP32 over WiFi!</t>
  </si>
  <si>
    <t>Audacity plug-in,MIDI,video files</t>
  </si>
  <si>
    <t>LOR, DDP</t>
  </si>
  <si>
    <t>originally Nutcracker, developed for holiday light shows  as a sequencer, spread beyond , continually developed.</t>
  </si>
  <si>
    <t>https://www.xlights.org</t>
  </si>
  <si>
    <t>FastLED "FX" engine</t>
  </si>
  <si>
    <t>Zach Vorhies</t>
  </si>
  <si>
    <t>ESP/AVR/NRF/RP/Browser</t>
  </si>
  <si>
    <t>Browser wasm Preview</t>
  </si>
  <si>
    <t>.</t>
  </si>
  <si>
    <t>Manufacturer</t>
  </si>
  <si>
    <t>Max Pixels</t>
  </si>
  <si>
    <t>Max outputs</t>
  </si>
  <si>
    <t>Interface</t>
  </si>
  <si>
    <t>Storage</t>
  </si>
  <si>
    <t>Standalone</t>
  </si>
  <si>
    <t>Pixel Types</t>
  </si>
  <si>
    <t>Max Voltage</t>
  </si>
  <si>
    <t>Max Current</t>
  </si>
  <si>
    <t>Buffered</t>
  </si>
  <si>
    <t>Output Connectors</t>
  </si>
  <si>
    <t>Outputs</t>
  </si>
  <si>
    <t>Waterproof / IP Rating</t>
  </si>
  <si>
    <t>Auxilary Outputs</t>
  </si>
  <si>
    <t>Warranty</t>
  </si>
  <si>
    <t>Introduction</t>
  </si>
  <si>
    <t>Product URL</t>
  </si>
  <si>
    <t>APD-2-500-12v-ART</t>
  </si>
  <si>
    <t>Abstract AVR</t>
  </si>
  <si>
    <t>WiFi, Ethernet</t>
  </si>
  <si>
    <t>Async</t>
  </si>
  <si>
    <t>Phoenix Screw</t>
  </si>
  <si>
    <t>Single</t>
  </si>
  <si>
    <t>On board Sound To Light , 31 channel DMX Macro mode</t>
  </si>
  <si>
    <t>https://www.digitaltape.co.uk/pixel-drivers</t>
  </si>
  <si>
    <t>Adafruit</t>
  </si>
  <si>
    <t>Solder</t>
  </si>
  <si>
    <t>Please see https://github.com/scanlime/fadecandy to confirm project status</t>
  </si>
  <si>
    <t>End of Life</t>
  </si>
  <si>
    <t>https://www.adafruit.com/product/1689</t>
  </si>
  <si>
    <t>PixLite 4 Mk2 ECO</t>
  </si>
  <si>
    <t>Advatek</t>
  </si>
  <si>
    <t>Ethernet</t>
  </si>
  <si>
    <t>Single or Clock</t>
  </si>
  <si>
    <t>Limited stock left - no website listing - contact directly to order remaining stock</t>
  </si>
  <si>
    <t>Discontinued</t>
  </si>
  <si>
    <t>sales@advateklights.com - ask for the ECO version. once the stock on shelves are gone no more will be manufactured</t>
  </si>
  <si>
    <t>PixLite 16 Mk2 ECO</t>
  </si>
  <si>
    <t>Ethernet ArtNet</t>
  </si>
  <si>
    <t>DMX x4</t>
  </si>
  <si>
    <t>PixLite 4 Mk2</t>
  </si>
  <si>
    <t>FPP/Ethernet/WiFi/USB</t>
  </si>
  <si>
    <t>new firmware has a pixel counting test pattern, great for mapping</t>
  </si>
  <si>
    <t>https://www.advateklights.com/pixlite-4-mk2-control-board</t>
  </si>
  <si>
    <t>PixLite A4-S Mk3</t>
  </si>
  <si>
    <t>SD Card</t>
  </si>
  <si>
    <t>SD</t>
  </si>
  <si>
    <t>DMX In/Out</t>
  </si>
  <si>
    <t>Electronic fusing; dithering and gamma on 8-bit/color pixels, "hundreds of FPS"</t>
  </si>
  <si>
    <t>https://www.advateklights.com/pixlite-a4-s-mk3</t>
  </si>
  <si>
    <t>PixLite 4 Rugged Mk2</t>
  </si>
  <si>
    <t>USB</t>
  </si>
  <si>
    <t>4 pin Advatek Male</t>
  </si>
  <si>
    <t>IP65</t>
  </si>
  <si>
    <t xml:space="preserve">5V or 12V available. Multiple power plug versions available. </t>
  </si>
  <si>
    <t>https://www.advateklights.com/pixlite-4-mk2-rugged</t>
  </si>
  <si>
    <t>PixLite 16 Long Range Mk2</t>
  </si>
  <si>
    <t>https://www.advateklights.com/pixlite-16-mk2-long-range-control-board</t>
  </si>
  <si>
    <t>PixLite 16 Mk2 Control Board</t>
  </si>
  <si>
    <t>https://www.advateklights.com/pixlite-16-mk2-control-board</t>
  </si>
  <si>
    <t>PixLite 16 Plug and Play Mk2</t>
  </si>
  <si>
    <t>https://www.advateklights.com/pixlite-16-mk2-plug-and-play</t>
  </si>
  <si>
    <t>PixLite E4-S Mk3</t>
  </si>
  <si>
    <t>Pixels cannot be powered through PixLite. Single 100Mbps Ethernet. All other features of Mk3 are available in the E Series</t>
  </si>
  <si>
    <t>https://www.advateklights.com/pixlite-e4-s-mk3</t>
  </si>
  <si>
    <t>PixLite E16-S Mk3</t>
  </si>
  <si>
    <t>wifi</t>
  </si>
  <si>
    <t>https://www.advateklights.com/pixlite-e16-s-mk3</t>
  </si>
  <si>
    <t>PixLite T8-S Mk3</t>
  </si>
  <si>
    <t>WiFi</t>
  </si>
  <si>
    <t>2 types of receivers available, dithering and gamma on 8-bit/color pixels, "hundreds of FPS"</t>
  </si>
  <si>
    <t>https://www.advateklights.com/pixlite-t8-s-mk3</t>
  </si>
  <si>
    <t>PixLite T8-S Mk2</t>
  </si>
  <si>
    <t>2 types of receivers available</t>
  </si>
  <si>
    <t>https://www.advateklights.com/pixlite-t8-s-mk2</t>
  </si>
  <si>
    <t>www.orangepi-dmx.org</t>
  </si>
  <si>
    <t xml:space="preserve">Arjan VanVught /Open Source </t>
  </si>
  <si>
    <t>Data, Clock, SPI</t>
  </si>
  <si>
    <t>Unique central configuration with human readable UPD messages. No FPS limit. Except what is given for the pixel protocl</t>
  </si>
  <si>
    <t>Blinkinlabs</t>
  </si>
  <si>
    <t>Bluetooth</t>
  </si>
  <si>
    <t>Flash</t>
  </si>
  <si>
    <t>Solder, JST</t>
  </si>
  <si>
    <t>https://shop.blinkinlabs.com/products/blinkytape-control-board</t>
  </si>
  <si>
    <t>8 Port LED Distro</t>
  </si>
  <si>
    <t>Bong69</t>
  </si>
  <si>
    <t>Yes?</t>
  </si>
  <si>
    <t>I.O. Pins broken out</t>
  </si>
  <si>
    <t>Y</t>
  </si>
  <si>
    <t>https://www.tindie.com/products/bong69/8-port-led-distro</t>
  </si>
  <si>
    <t>Baldrick Board</t>
  </si>
  <si>
    <t>Build A Light Show</t>
  </si>
  <si>
    <t xml:space="preserve">Single </t>
  </si>
  <si>
    <t>Aimed at easy set up with Xlights.</t>
  </si>
  <si>
    <t>https://baldrickboard.com/</t>
  </si>
  <si>
    <t>Chauvet Pro</t>
  </si>
  <si>
    <t>USB, Ethernet, WiFi</t>
  </si>
  <si>
    <t>3 pin IP65</t>
  </si>
  <si>
    <t>https://www.chauvetprofessional.com/products/epix-flex-drive/</t>
  </si>
  <si>
    <t>Angio 4</t>
  </si>
  <si>
    <t>chroma.tech</t>
  </si>
  <si>
    <t>Phoenix Screw pluggable</t>
  </si>
  <si>
    <t>Single and Clock</t>
  </si>
  <si>
    <t>Bulk fleet manager. ArtNet, sACN / E1.31, Open Pixel Control</t>
  </si>
  <si>
    <t>https://shop.chroma.tech/products/angio-4</t>
  </si>
  <si>
    <t>Angio 8</t>
  </si>
  <si>
    <t>Ethernet  Artnet/sACN</t>
  </si>
  <si>
    <t>https://shop.chroma.tech/products/angio-8</t>
  </si>
  <si>
    <t xml:space="preserve">City Theatrical </t>
  </si>
  <si>
    <t>XLR5</t>
  </si>
  <si>
    <t>DMX controlled replay unit</t>
  </si>
  <si>
    <t>http://www.citytheatrical.com/Products/qolorpix-tape-controller-eight-output#</t>
  </si>
  <si>
    <t>Deskontrol Lite 16</t>
  </si>
  <si>
    <t>Deskontrol</t>
  </si>
  <si>
    <t>sACN , DDP</t>
  </si>
  <si>
    <t>RJ-45</t>
  </si>
  <si>
    <t>https://www.deskontrol.net/en/art-net-led-controller/362-art-net-led-controller-deskontroller-lite-16-universes.html</t>
  </si>
  <si>
    <t>deskontroller LITE V3 32</t>
  </si>
  <si>
    <t>deskontrol electronics SL</t>
  </si>
  <si>
    <t>Wifi</t>
  </si>
  <si>
    <t>RJ45</t>
  </si>
  <si>
    <t>https://www.deskontrol.net/en/art-net-led-controllers/384-deskontroller-lite-v3-32-artnet-universes.html</t>
  </si>
  <si>
    <t>deskontroller LITE V3 96</t>
  </si>
  <si>
    <t>https://www.deskontrol.net/en/art-net-led-controllers/381-deskontroller-lite-v3-96-artnet-universes.html</t>
  </si>
  <si>
    <t>deskontroller LITE V3 192</t>
  </si>
  <si>
    <t>https://www.deskontrol.net/en/art-net-led-controllers/386-deskontroller-lite-v3-192-artnet-universes.html</t>
  </si>
  <si>
    <t>Diamex</t>
  </si>
  <si>
    <t>https://www.led-genial.de/LED-Controller-L-Rev2-fuer-WS2812-Effekte-abspielen-und-TPM2-ueber-USB</t>
  </si>
  <si>
    <t>https://www.led-genial.de/LED-Player-L-fuer-Strips-und-Panels-bis-4096-LEDs</t>
  </si>
  <si>
    <t>https://www.led-genial.de/LED-Player-DMX-TPM2-Dateien-von-DMX-gesteuert-abspielen</t>
  </si>
  <si>
    <t>WiFi/Ethernet</t>
  </si>
  <si>
    <t>DiGidot</t>
  </si>
  <si>
    <t>FPP, USB Ethernet/Wifi</t>
  </si>
  <si>
    <t>Long range data transmission extenders available</t>
  </si>
  <si>
    <t>https://digidot.eu/c4/digidot-c4-live</t>
  </si>
  <si>
    <t>Packed with features</t>
  </si>
  <si>
    <t>https://digidot.eu/c4/digidot-c4-extended</t>
  </si>
  <si>
    <t>DMX Core</t>
  </si>
  <si>
    <t>DMX Pro Sales</t>
  </si>
  <si>
    <t>Standalone wall-mounted controller with 4.3" touch interface for presets, playback. Up to 40 universes.</t>
  </si>
  <si>
    <t>https://dmxcore.com/</t>
  </si>
  <si>
    <t>DMX4All</t>
  </si>
  <si>
    <t>Switch Trigger</t>
  </si>
  <si>
    <t>Phoenix Plug</t>
  </si>
  <si>
    <t>single and clock</t>
  </si>
  <si>
    <t>https://shop.dmx4all.de/en/dmx4all-products/magiarled-solutions/magiarled-controller/artnet-twinpixx-16.html</t>
  </si>
  <si>
    <t>DMXKing</t>
  </si>
  <si>
    <t>Data and Clock</t>
  </si>
  <si>
    <t>Show record and playback trigger capability through RJ-12 port</t>
  </si>
  <si>
    <t>https://dmxking.com/led-pixel-control/ledmx4-pro</t>
  </si>
  <si>
    <t>LeDMX2 MAX</t>
  </si>
  <si>
    <t>DMXking</t>
  </si>
  <si>
    <t>Ethernet, DMX</t>
  </si>
  <si>
    <t>Show record and playback trigger capability</t>
  </si>
  <si>
    <t>https://dmxking.com/led-pixel-control/ledmx2-max</t>
  </si>
  <si>
    <t>LeDMX4 MAX</t>
  </si>
  <si>
    <t>FPP, Ethernet/Wifi</t>
  </si>
  <si>
    <t>https://dmxking.com/led-pixel-control/ledmx4-max</t>
  </si>
  <si>
    <t>Elation discontinued</t>
  </si>
  <si>
    <t>Clocked</t>
  </si>
  <si>
    <t>clocked</t>
  </si>
  <si>
    <t>https://www.elationlighting.com/flex-pixel-driver-1</t>
  </si>
  <si>
    <t xml:space="preserve">DMX to LED Strip </t>
  </si>
  <si>
    <t>Electroconcept</t>
  </si>
  <si>
    <t>Bluetooth/Audio</t>
  </si>
  <si>
    <t>Plated Through Hole</t>
  </si>
  <si>
    <t xml:space="preserve">DMX modes and address selected via dip switch. Setting of pixel mode X1 X2 X3 or 11 channels program mode </t>
  </si>
  <si>
    <t>https://www.boutique-electroconcept.com/dmx-signal-board-for-ledstrip-digital-ws2812-and-compatible-to-be-welded.html</t>
  </si>
  <si>
    <t>Digiled Strip/DMX/WAV SD Micro Player</t>
  </si>
  <si>
    <t>Plated Throgh Hole</t>
  </si>
  <si>
    <t>SPI/ DMX/WAV</t>
  </si>
  <si>
    <t>6 switch input trigger SPI, DMX or Wav sound scenesProgrammed using Artrender https://www.boutique-electroconcept.com/information/downloads.html</t>
  </si>
  <si>
    <t>https://www.boutique-electroconcept.com/micro-sd-player-digiled-strip-ou-dmx-512.html</t>
  </si>
  <si>
    <t xml:space="preserve">ElectroMage </t>
  </si>
  <si>
    <t xml:space="preserve">ArtNet Ethernet internal switch </t>
  </si>
  <si>
    <t>Solder/3 pin servo</t>
  </si>
  <si>
    <t>Configurable</t>
  </si>
  <si>
    <t>Stacks up to 8 on a bus</t>
  </si>
  <si>
    <t>https://shop.electromage.com/products/pixelblaze-output-expander-serial-to-8x-ws2812-apa102-driver</t>
  </si>
  <si>
    <t>Pixelblaze V3</t>
  </si>
  <si>
    <t>Solder / Screw</t>
  </si>
  <si>
    <t>$19 busable output expanders have 8ch ea (max 51K pixels).</t>
  </si>
  <si>
    <t>https://electromage.com/pixelblaze</t>
  </si>
  <si>
    <t>https://shop.electromage.com/products/pixelblaze-pro-output-expander-pro-8x-ws2812-apa102-led-driver</t>
  </si>
  <si>
    <t>DMX to SPI</t>
  </si>
  <si>
    <t>Electron Design</t>
  </si>
  <si>
    <t>Groupable in 1,2,4,5,10,100 as pixel</t>
  </si>
  <si>
    <t>https://www.ebay.com/itm/321934091091</t>
  </si>
  <si>
    <t>https://www.ebay.co.uk/itm/ArtNet-to-pixel-sACN-ArtNet-SPI-WS2811-12-WS2801-SM16703-GS8208-WS2815/221181172896</t>
  </si>
  <si>
    <t>EMP 16 Uni control</t>
  </si>
  <si>
    <t>EMP Designs</t>
  </si>
  <si>
    <t>$?</t>
  </si>
  <si>
    <t>Push Terminal</t>
  </si>
  <si>
    <t>19mm Slim Din Rail mount, Internal Ethernet Switch for daisychain</t>
  </si>
  <si>
    <t>https://www.empdesigns.co.uk/portfolio-item/16-universe-led-pixel-controller/</t>
  </si>
  <si>
    <t>PIXPoE</t>
  </si>
  <si>
    <t>30W 5V PoE output</t>
  </si>
  <si>
    <r>
      <rPr>
        <color rgb="FF1155CC"/>
        <u/>
      </rPr>
      <t>https://www.empdesigns.co.uk/portfolio-item/poe-pixel-controller/</t>
    </r>
    <r>
      <rPr/>
      <t>/</t>
    </r>
  </si>
  <si>
    <t>DIN Pixie</t>
  </si>
  <si>
    <t>Back powered from pixel strip - connect thru USB to record a show onto the device using live Art-net</t>
  </si>
  <si>
    <t>https://www.enttec.com.au/product/lighting-show-controller/din-pixie-2-universe-dmx-to-led-pixel-converter-controller/</t>
  </si>
  <si>
    <t>Octo Mk2</t>
  </si>
  <si>
    <t>Ethernet thru</t>
  </si>
  <si>
    <t>Daisy-chainable thru ethernet up to 8 devices.</t>
  </si>
  <si>
    <t>https://www.enttec.com/product/addressable-led-pixel-control/led-pixel-controller/</t>
  </si>
  <si>
    <t>M8 Port Pixel</t>
  </si>
  <si>
    <t>TTL Serial</t>
  </si>
  <si>
    <t>https://www.enttec.com/product/din/led-pixel-control-din-rail/din-rail-led-pixel-controller/</t>
  </si>
  <si>
    <t>RJ-46</t>
  </si>
  <si>
    <t>Proprietary</t>
  </si>
  <si>
    <t>https://www.enttec.com/product/controls/addressable-led-pixel-control/din-rail-ethernet-pixel-converter/</t>
  </si>
  <si>
    <t>https://www.enttec.co.uk/product/controls-gb/addressable-led-pixel-control-gb/24-port-ethernet-pixel-controller/</t>
  </si>
  <si>
    <t>Genius Long Range Pixel Controller</t>
  </si>
  <si>
    <t>Experience Lights</t>
  </si>
  <si>
    <t>Ethernet +POE</t>
  </si>
  <si>
    <t>https://experiencelights.com/long-range-genius-pixel-controller/</t>
  </si>
  <si>
    <t>Genius Pro 32 Port</t>
  </si>
  <si>
    <t>Spring Terminal</t>
  </si>
  <si>
    <t xml:space="preserve">On board PSU mounting,Efuse protected power distribution, on board fault finding </t>
  </si>
  <si>
    <t>https://experiencelights.com/genius-pro-32-port-controller/#/</t>
  </si>
  <si>
    <t>SceneX PP4</t>
  </si>
  <si>
    <t>German Light Products</t>
  </si>
  <si>
    <t>4 Pin XLR</t>
  </si>
  <si>
    <t>Internal PSU</t>
  </si>
  <si>
    <t>https://www.germanlightproducts.com/product/pp4-pixel-led-tape-drivers/</t>
  </si>
  <si>
    <t>ESP32 WLED Controller 8chan</t>
  </si>
  <si>
    <t xml:space="preserve">Giovanni's Domotica Store </t>
  </si>
  <si>
    <t>GPIO /Relay</t>
  </si>
  <si>
    <t>https://www.tindie.com/products/giovannicas/esp32-wled-controller-8chan/?pt=ac_prod_search</t>
  </si>
  <si>
    <t>ETH032F Pixel Breakout</t>
  </si>
  <si>
    <t>GO 3D France</t>
  </si>
  <si>
    <t>Ethernet ESP32 board breakout with fuses runs Wled</t>
  </si>
  <si>
    <t>https://go3d.fr/produit/carte-de-controle-pour-led-pixels-eth032f/</t>
  </si>
  <si>
    <t>FP48F</t>
  </si>
  <si>
    <t>Beagle Bone Based, 48 Outputs , On Board RTC, Full Linux OS runs FPP</t>
  </si>
  <si>
    <t>https://go3d.fr/produit/controleur-de-pixels-fp48f/</t>
  </si>
  <si>
    <t>HolidayCoro</t>
  </si>
  <si>
    <t>Ethernet /Wifi</t>
  </si>
  <si>
    <t>DMX x3</t>
  </si>
  <si>
    <t>https://www.holidaycoro.com/AlphaPix-16-Pixel-Controller-V3-p/721-v3.htm</t>
  </si>
  <si>
    <t>AlphaPix Flex with Expansion</t>
  </si>
  <si>
    <t>DMX x2</t>
  </si>
  <si>
    <t>ThunderPack Wearable</t>
  </si>
  <si>
    <t>Jeremy Gillici Labs</t>
  </si>
  <si>
    <t>1.4 - 2.3A output per PWM channel. RGB PWM and/or addressable LEDs.</t>
  </si>
  <si>
    <t>https://www.tindie.com/stores/jeremy/</t>
  </si>
  <si>
    <t>K2-Pi0</t>
  </si>
  <si>
    <t>KulpLights, LLC</t>
  </si>
  <si>
    <t>Phoenix</t>
  </si>
  <si>
    <t>Requires Raspberry Pi</t>
  </si>
  <si>
    <t>K4-PB</t>
  </si>
  <si>
    <t>eFuse power distribution</t>
  </si>
  <si>
    <t>https://kulplights.com/product/k4-pb/</t>
  </si>
  <si>
    <t>K8-PB</t>
  </si>
  <si>
    <t>Phoenix Screw/RJ45</t>
  </si>
  <si>
    <t>12 channels require differential receivers. eFuses, Current Sensing, Pixel Counting</t>
  </si>
  <si>
    <t>https://kulplights.com/product/k8-pb/</t>
  </si>
  <si>
    <t>K40D-PB</t>
  </si>
  <si>
    <t>https://kulplights.com/product/k40d-pb/</t>
  </si>
  <si>
    <t>K8-B</t>
  </si>
  <si>
    <t>12 channels require differential receivers.</t>
  </si>
  <si>
    <t>https://kulplights.com/product/k8-b/</t>
  </si>
  <si>
    <t>K16A-B</t>
  </si>
  <si>
    <t>16 channels require differential receivers. Onboard sound, FM transmitter optional, eFuse power distribution</t>
  </si>
  <si>
    <t>https://kulplights.com/product/k16a-b/</t>
  </si>
  <si>
    <t>K32A-B</t>
  </si>
  <si>
    <t>Ethernet PoE++</t>
  </si>
  <si>
    <t>16 channels require differential receivers. Onboard sound, FM transmitter optional.</t>
  </si>
  <si>
    <t>https://kulplights.com/product/k32a-b/</t>
  </si>
  <si>
    <t>K16000S</t>
  </si>
  <si>
    <t>Ethernet/WiFi</t>
  </si>
  <si>
    <t>Screw Terminal</t>
  </si>
  <si>
    <t>Data, Ground</t>
  </si>
  <si>
    <t>https://www.amazon.com/dp/B09XB4QTGT</t>
  </si>
  <si>
    <t>K64D-B</t>
  </si>
  <si>
    <t>Onboard sound, FM transmitter optional.</t>
  </si>
  <si>
    <t>https://kulplights.com/product/k64d-b/</t>
  </si>
  <si>
    <t>K128D-B</t>
  </si>
  <si>
    <t>FPP</t>
  </si>
  <si>
    <t>https://kulplights.com/product/k128d-b/</t>
  </si>
  <si>
    <t>PB Complete Controller</t>
  </si>
  <si>
    <t>Kurt Controllers</t>
  </si>
  <si>
    <t>16 x4A D.C. / 16 xServo/ 8 switch inputs</t>
  </si>
  <si>
    <t xml:space="preserve"> 16 WS281x pixel ports, 16 4A DC solid-state outputs, 16 servo motor outputs, 8 trigger inputs, and a female USB type-A 2.0 OTG </t>
  </si>
  <si>
    <t>https://kurtcontrollers.com/?product=pb-complete-controller</t>
  </si>
  <si>
    <t>SPI LED Controller</t>
  </si>
  <si>
    <t>RJ-45 DMX, Phoenix Plug SPI</t>
  </si>
  <si>
    <t>https://www.ledstripstudio.com/download/tech-specs/SPI_LED_Controller_tech_specs.pdf</t>
  </si>
  <si>
    <t>https://ledstripstudio.com/spi-led-controller/</t>
  </si>
  <si>
    <t>Reactivo 2</t>
  </si>
  <si>
    <t>https://reactivo.lighting/first-touch/ Screen grabber, WEB interface, APP, Software, Sensors, Triggers management</t>
  </si>
  <si>
    <t>https://ledstripstudio.com/gaming/</t>
  </si>
  <si>
    <t>SPI Matrix</t>
  </si>
  <si>
    <t>Led Strip studio</t>
  </si>
  <si>
    <t>Single &amp; Clock &amp; DMX</t>
  </si>
  <si>
    <t>https://www.ledstripstudio.com/download/LEC3HardwareManual.pdf</t>
  </si>
  <si>
    <t>https://tlslighting.co.uk/product/spi-matrix-lite-led-strip-studio-art-net-to-spi-stand-alone-spi-controller/</t>
  </si>
  <si>
    <t>LED Ethernet Controller 3</t>
  </si>
  <si>
    <t>USB/SD Card</t>
  </si>
  <si>
    <t>https://ledstripstudio.com/shop/product/led-ethernet-controller-3/</t>
  </si>
  <si>
    <t>LED Ethernet Controller Powered</t>
  </si>
  <si>
    <t>https://www.ledstripstudio.com/download/tech-specs/POWERED_LEC_tech_specs.pdf</t>
  </si>
  <si>
    <t>Lumikit</t>
  </si>
  <si>
    <t>https://www.lumikit.com.br/international</t>
  </si>
  <si>
    <t>Luminaxa</t>
  </si>
  <si>
    <t>JST</t>
  </si>
  <si>
    <t>Internal 3500mAh battery Android app</t>
  </si>
  <si>
    <t>https://luminxa.com/</t>
  </si>
  <si>
    <t>Madrix</t>
  </si>
  <si>
    <t>RFRemote/Bluettooth/audio/switch</t>
  </si>
  <si>
    <t>Screw</t>
  </si>
  <si>
    <t>https://www.madrix.com/products/nebula</t>
  </si>
  <si>
    <t>MagWLED-1</t>
  </si>
  <si>
    <t>magwled</t>
  </si>
  <si>
    <t>Wago connector</t>
  </si>
  <si>
    <t>USB C powered 5v or 12v capable</t>
  </si>
  <si>
    <t>Standard Differential  Receiver</t>
  </si>
  <si>
    <t>Microcyb</t>
  </si>
  <si>
    <t>Multiple</t>
  </si>
  <si>
    <t>https://microcyb.com</t>
  </si>
  <si>
    <r>
      <rPr>
        <color rgb="FF1155CC"/>
        <u/>
      </rPr>
      <t>EspArtStick</t>
    </r>
    <r>
      <rPr/>
      <t xml:space="preserve"> </t>
    </r>
  </si>
  <si>
    <t>DMX/WirelessDMX</t>
  </si>
  <si>
    <t>2.4 GHZ WiFi Pixel Controller, sdc-card, RF reciever</t>
  </si>
  <si>
    <t>https://www.microcyb.com/index.html#!/WLED-5v-12V-SD-Card-WiFi-EspArtStick-pixel-controller/p/170368862/category=0</t>
  </si>
  <si>
    <t>M4- Pi</t>
  </si>
  <si>
    <t>Pi Hat ,requires Raspberry Pi</t>
  </si>
  <si>
    <t>https://espartstick.ecwid.com/M4-PI-Raspberry-Pi-4-Port-Pixel-controller-p468426786</t>
  </si>
  <si>
    <t>M4 Port Pixel</t>
  </si>
  <si>
    <t>Raspberry Pi 3B+ or Above with FPP</t>
  </si>
  <si>
    <t>https://www.microcyb.com/index.html#!/M4-PI-Raspberry-Pi-4-Port-Pixel-controller/p/468426786/category=0</t>
  </si>
  <si>
    <t>https://www.microcyb.com/index.html#!/M8-PI-Raspberry-Pi-8-Port-Pixel-controller/p/471859299/category=0</t>
  </si>
  <si>
    <t>Northern Lights Electronic Design</t>
  </si>
  <si>
    <t xml:space="preserve">ArtNet Ethernet </t>
  </si>
  <si>
    <t>https://store.nledshop.com/index.php/nled-pixel-controller-mini-ws2801-ws2811-ws2812-lpd8806-more.html</t>
  </si>
  <si>
    <t>DMX 512</t>
  </si>
  <si>
    <t>On board 3 Axis Accelerometer, programmable for wearables and standalone</t>
  </si>
  <si>
    <t>https://store.nledshop.com/index.php/nled-pixel-controller-electron-flow-toys-wearables.html</t>
  </si>
  <si>
    <t>Lightkraken</t>
  </si>
  <si>
    <t>Obtainium Consulting</t>
  </si>
  <si>
    <t>70W PoE++ Powered via Cat5 from PoE Switch</t>
  </si>
  <si>
    <t>https://www.tindie.com/products/tinicuro/lightkraken/      https://www.lightkraken.net/</t>
  </si>
  <si>
    <t>PixBlasters MS1</t>
  </si>
  <si>
    <t>Pixblasters</t>
  </si>
  <si>
    <t>Header strip</t>
  </si>
  <si>
    <t>Ethernet to daisy chain mult controllers</t>
  </si>
  <si>
    <t>Connects to PC or Mac (or other device) using HDMI and acts like a monitor. Outpus a selected section of the screen to a matrix of LED strips or to prefab LED panels at up to 60FPS. Can daisy chain up to 48 controllers to power up to 786,432 pixels. Power must be supplied to strips by external power sources. 5V and 12V both work. Others may as well.</t>
  </si>
  <si>
    <t>PixelController, LLC</t>
  </si>
  <si>
    <t>https://www.pixelcontroller.com/store/index.php?id_product=51&amp;controller=product</t>
  </si>
  <si>
    <t>Falcon F48</t>
  </si>
  <si>
    <t>Differential</t>
  </si>
  <si>
    <t>https://www.pixelcontroller.com/store/index.php?id_product=52&amp;controller=product</t>
  </si>
  <si>
    <t>Ethernet, Wifi</t>
  </si>
  <si>
    <t>https://pixelcontroller.com/store/products/48-f16v3.html</t>
  </si>
  <si>
    <t>Falcon F16V4</t>
  </si>
  <si>
    <t>SD (micro)</t>
  </si>
  <si>
    <t>https://pixelcontroller.com/store/products/70-f16v4.html</t>
  </si>
  <si>
    <t>F-Test</t>
  </si>
  <si>
    <t>PixNet 4+</t>
  </si>
  <si>
    <t>PixNet Control</t>
  </si>
  <si>
    <t>Single and Clock &amp;DMX</t>
  </si>
  <si>
    <t>Powerd POE or Screw Terminals 5- 48 Volt</t>
  </si>
  <si>
    <t>https://pixnetcontrol.com/</t>
  </si>
  <si>
    <t>PixOut</t>
  </si>
  <si>
    <t>Pi based artnet recorderUp to 255 Universes IOS/Android App</t>
  </si>
  <si>
    <t>http://pixout.lighting/</t>
  </si>
  <si>
    <t>Brightly</t>
  </si>
  <si>
    <t>Polytronic</t>
  </si>
  <si>
    <t>Ethernet,DMX,SD Card</t>
  </si>
  <si>
    <t>Screw Terminal &amp; RJ45</t>
  </si>
  <si>
    <t>Modular breakouts allow for direct screw terminal plug or differential RJ45 outputs that can run over 1000ft to a receiver</t>
  </si>
  <si>
    <t>https://glowbrightly.io/</t>
  </si>
  <si>
    <t>ProtoPixel 1 channel Ethernet</t>
  </si>
  <si>
    <t>https://www.protopixel.io/pricing</t>
  </si>
  <si>
    <t>ProtoPixel 1 channel WiFi</t>
  </si>
  <si>
    <t>Ethernet/DMX</t>
  </si>
  <si>
    <t>ProtoPixel 8 channel controller</t>
  </si>
  <si>
    <t>Design software $149 per Month Deployment from $79 per Month</t>
  </si>
  <si>
    <t>QuinLED-Dig-Uno</t>
  </si>
  <si>
    <t>Quindor / Intermittent Technology</t>
  </si>
  <si>
    <t>5mm screw terminal</t>
  </si>
  <si>
    <t>DIY or Pre-Assembled</t>
  </si>
  <si>
    <t>ESP8266/ESP32 based, open to any software, often run with WLED</t>
  </si>
  <si>
    <t>https://quinled.info/quinled-dig-uno/</t>
  </si>
  <si>
    <t>QuinLED Dig2go</t>
  </si>
  <si>
    <t>DMX / Wireless DMX</t>
  </si>
  <si>
    <t>Pigtail (included)</t>
  </si>
  <si>
    <t>Pre-Assembled</t>
  </si>
  <si>
    <t>ESP32, open to any software, often run with WLED</t>
  </si>
  <si>
    <t>https://dig2go.info/</t>
  </si>
  <si>
    <t>QuinLED-Dig-Quad</t>
  </si>
  <si>
    <t>https://quinled.info/quinled-dig-quad/</t>
  </si>
  <si>
    <t>QuinLED-Dig-Octa</t>
  </si>
  <si>
    <t>Micro-SD</t>
  </si>
  <si>
    <t>5mm or 7.62mm screw terminal</t>
  </si>
  <si>
    <t>https://quinled.info/quinled-dig-octa/</t>
  </si>
  <si>
    <t>Headers</t>
  </si>
  <si>
    <t>Now Bekonix see Pattern Drivers</t>
  </si>
  <si>
    <t>https://www.rocketlife.com/technology/ morphed to   https://www.bekonix.com/</t>
  </si>
  <si>
    <t>SanDevices</t>
  </si>
  <si>
    <t>http://sandevices.com/product/e6804-assembled-tested/</t>
  </si>
  <si>
    <t>Ethernet &amp; DMX</t>
  </si>
  <si>
    <t>DMX in groups of 4</t>
  </si>
  <si>
    <t>http://sandevices.com/product/e682-assembled-tested/</t>
  </si>
  <si>
    <t>A1-SLWF-03</t>
  </si>
  <si>
    <t>SMARTLIGHT.ME</t>
  </si>
  <si>
    <t>https://www.tindie.com/products/smartlightme/a1-slwf-03-wled-esp32-controller-home-assistant</t>
  </si>
  <si>
    <t>Pixie</t>
  </si>
  <si>
    <t>SmartShow</t>
  </si>
  <si>
    <t>https://www.ebay.co.uk/itm/SmartShow-PIXIE-Wifi-1-Universe-WS2812-Pixel-Controller-ArtNet-SPI/273946916411</t>
  </si>
  <si>
    <t>Replay</t>
  </si>
  <si>
    <t>Smartshow</t>
  </si>
  <si>
    <t>single</t>
  </si>
  <si>
    <t>Replays Jinx and Xlights files on 4 seperate 680 Pixels outputs</t>
  </si>
  <si>
    <t>https://www.ebay.co.uk/itm/SmartShow-REPLAY-SDCard-Pixel-Player-2720-WS2812-SK6812-TMP2-FSEQ-PSEQ/274135104445?hash=item3fd3b9bbbd:g:sSAAAOSwAeBd7nOC</t>
  </si>
  <si>
    <t>NetPixel Mini</t>
  </si>
  <si>
    <t>Netpixel Quad</t>
  </si>
  <si>
    <t>https://www.ebay.co.uk/itm/SmartShow-NetPixel-Quad-16-Universe-Pixel-Driver-4-output-ArtNet-SPI/273982361910</t>
  </si>
  <si>
    <t>NetPixel-One</t>
  </si>
  <si>
    <t>https://www.ebay.co.uk/itm/SmartShow-NetPixel-ONE-32-Universe-Ethernet-Pixel-Driver-ArtNet-sACN/274037107730</t>
  </si>
  <si>
    <t>SmartShow Pro One</t>
  </si>
  <si>
    <t>Signal and Clock</t>
  </si>
  <si>
    <t>Inbuilt Ethernet Switch, allows daisy chaining units</t>
  </si>
  <si>
    <t>https://smartshow.lighting/</t>
  </si>
  <si>
    <t>SP102E</t>
  </si>
  <si>
    <t>Sperll</t>
  </si>
  <si>
    <t xml:space="preserve"> </t>
  </si>
  <si>
    <t>Presets</t>
  </si>
  <si>
    <t>Singnal and Clock</t>
  </si>
  <si>
    <t>Amazon</t>
  </si>
  <si>
    <t>SP105E</t>
  </si>
  <si>
    <t>SP108E</t>
  </si>
  <si>
    <t>SP107E</t>
  </si>
  <si>
    <t>SP801e</t>
  </si>
  <si>
    <t>8 Outputs 600 Px per Out, 4 dry Trigger Inputs, Built in Mic for Audio</t>
  </si>
  <si>
    <t>https://www.superlightingled.com/sp608e-8-output-spi-channel-led-music-controller-work-with-bluetooth-app-rf-remote-4-adjustable-triggers-for-addressable-led-strips-p-3768.html</t>
  </si>
  <si>
    <t>Theatre Wireless</t>
  </si>
  <si>
    <t>DMX Thru</t>
  </si>
  <si>
    <t>DMX pattern replay and keyframing onboard RC4 Wireless</t>
  </si>
  <si>
    <t>https://theatrewireless.com/shop/rc4magic-s3/dmxpix/</t>
  </si>
  <si>
    <t>Ulrich Radig</t>
  </si>
  <si>
    <t>https://shop.ulrichradig.de/Module/Light-Control-DMX/4096-Kanal-LED-Strip-Controller.html</t>
  </si>
  <si>
    <t>ULS Stripe</t>
  </si>
  <si>
    <t>ULS Manufacturing</t>
  </si>
  <si>
    <t>5 Pin GX-16</t>
  </si>
  <si>
    <t>7 DMX Modes fom Individual to grouped</t>
  </si>
  <si>
    <t>https://ultralightsound.co.uk/product/uls-stripe-addressable-led-pixel-controller</t>
  </si>
  <si>
    <t>SpiNode</t>
  </si>
  <si>
    <t>Visual Productions</t>
  </si>
  <si>
    <t>IP20</t>
  </si>
  <si>
    <t>Use max 2 SpiNodes per CueCore3, to open up 32 universes</t>
  </si>
  <si>
    <t>WB1616</t>
  </si>
  <si>
    <t>Wally's Lights</t>
  </si>
  <si>
    <t>Ethernet &amp; USB</t>
  </si>
  <si>
    <t>Single and long range</t>
  </si>
  <si>
    <t>DMX x 2</t>
  </si>
  <si>
    <t>https://wallyslights.com/products/wallys-lights-wb1616-controller?_pos=3&amp;_psq=wb1616&amp;_ss=e&amp;_v=1.0</t>
  </si>
  <si>
    <t>Mini 8 Port Controller</t>
  </si>
  <si>
    <t>Wasatch Pixels</t>
  </si>
  <si>
    <t>https://www.tindie.com/products/k7bbr/wasatch-pixels-mini-eight-port-led-controller/</t>
  </si>
  <si>
    <t>Orange Pro Plus 32</t>
  </si>
  <si>
    <t>Winterlights India</t>
  </si>
  <si>
    <t>16 x long range data</t>
  </si>
  <si>
    <t>https://www.winterlights.in/product-page/orange-pro-plus-32-48000-pixel-controller</t>
  </si>
  <si>
    <t>PixelDIN</t>
  </si>
  <si>
    <t>YariloPro</t>
  </si>
  <si>
    <t>Up to 4 independent outputs in 1-Wire SPI Mode. Total 5440 pixels.</t>
  </si>
  <si>
    <t>https://yarilo.pro/en/controllers/pixel-controllers/yarilo-pixeldin</t>
  </si>
  <si>
    <t>T1000S</t>
  </si>
  <si>
    <t>DMX/USB</t>
  </si>
  <si>
    <t>40A</t>
  </si>
  <si>
    <t>http://doityourselfchristmas.com/forums/showthread.php?53296-FPP-PB16-Pixel-Controlleri</t>
  </si>
  <si>
    <t>Colour Group</t>
  </si>
  <si>
    <t>LED Voltage</t>
  </si>
  <si>
    <t>VCC Voltage</t>
  </si>
  <si>
    <t>PWM Frequency</t>
  </si>
  <si>
    <t>Brightness Bits</t>
  </si>
  <si>
    <t>Data BitRate</t>
  </si>
  <si>
    <t>Pixel Data Size</t>
  </si>
  <si>
    <t>Pixel Rate Max</t>
  </si>
  <si>
    <t>GPIO Min</t>
  </si>
  <si>
    <t>GPIO Max</t>
  </si>
  <si>
    <t>Wattage</t>
  </si>
  <si>
    <t>Channel Current</t>
  </si>
  <si>
    <t>Quiescent Current</t>
  </si>
  <si>
    <t>Package Size</t>
  </si>
  <si>
    <t>Pin Count</t>
  </si>
  <si>
    <t>Data Type</t>
  </si>
  <si>
    <t>Backup Data Line</t>
  </si>
  <si>
    <t>Max pixel per string</t>
  </si>
  <si>
    <t>Release Year</t>
  </si>
  <si>
    <t>NOTES</t>
  </si>
  <si>
    <t>3rd Party Testing</t>
  </si>
  <si>
    <t>Original Manufacturer</t>
  </si>
  <si>
    <t>Datasheet URL</t>
  </si>
  <si>
    <t>Other Links</t>
  </si>
  <si>
    <t>RGB</t>
  </si>
  <si>
    <t>5050, 3535, 1212</t>
  </si>
  <si>
    <t>WS2811/12</t>
  </si>
  <si>
    <t>WS2812b clone like SK6812</t>
  </si>
  <si>
    <t>APA Electronics</t>
  </si>
  <si>
    <t>APA104 Pixel Protocol Overview | Advatek Lighting</t>
  </si>
  <si>
    <t>APA105</t>
  </si>
  <si>
    <t>GRB</t>
  </si>
  <si>
    <t>5050, 3535, 2020</t>
  </si>
  <si>
    <t>ws2812b/sk6812 with built-in capacitors</t>
  </si>
  <si>
    <t>Newstar LED Co.</t>
  </si>
  <si>
    <t>http://www.newstar-ledstrip.com/productshow819.html</t>
  </si>
  <si>
    <t>CS8812</t>
  </si>
  <si>
    <t>12V</t>
  </si>
  <si>
    <t>5050</t>
  </si>
  <si>
    <t>Built-in 8-&gt;12bit gamma correction. "B" version is "without original program".  Similar to GS8208</t>
  </si>
  <si>
    <t>Witop</t>
  </si>
  <si>
    <t>https://www.superlightingled.com/PDF/CS8812-LED-Chip-Datasheet.pdf</t>
  </si>
  <si>
    <t>CS8812 Pixel Protocol Overview | Advatek Lighting</t>
  </si>
  <si>
    <t>Built-in 8-&gt;12bit gamma correction! Similar to WS2815; early version booted with onboard patterns - now eliminated</t>
  </si>
  <si>
    <t>Genesis Systec</t>
  </si>
  <si>
    <t>GS8208 Pixel Protocol Overview | Advatek Lighting</t>
  </si>
  <si>
    <t>BGR</t>
  </si>
  <si>
    <t>Very similar to the GS8208, the spec sheets are almost identical</t>
  </si>
  <si>
    <t>Color</t>
  </si>
  <si>
    <t>http://addressable-led.com/UploadFile/upi/file/20190318/LC8808-LED.pdf</t>
  </si>
  <si>
    <t>NS8808</t>
  </si>
  <si>
    <t>UCS1903</t>
  </si>
  <si>
    <t>silimar to ws2815, but UCS1903 protocol</t>
  </si>
  <si>
    <t>http://newstar-ledstrip.com/productshow855.html</t>
  </si>
  <si>
    <t>5/8mm T style</t>
  </si>
  <si>
    <t>5mm &amp; 8mm epoxy leaded copy of WS2811/12</t>
  </si>
  <si>
    <t>https://cpldcpu.wordpress.com/2014/06/16/timing-of-ws2812-clones-pd9823/</t>
  </si>
  <si>
    <t>/</t>
  </si>
  <si>
    <t>https://cdn.instructables.com/ORIG/FW0/YN1X/IHDUL683/FW0YN1XIHDUL683.pdf</t>
  </si>
  <si>
    <t>SK6812</t>
  </si>
  <si>
    <t>CW,WW,Amber</t>
  </si>
  <si>
    <t>replaces RGB LEDs with CW, WW, Amber for variable CCT</t>
  </si>
  <si>
    <t>Opsco/Newstar</t>
  </si>
  <si>
    <t>http://newstar-ledstrip.com/productshow751.html</t>
  </si>
  <si>
    <t>GRB &amp; GRBW</t>
  </si>
  <si>
    <t>5050,3535,2040</t>
  </si>
  <si>
    <t>WS2812 copy also available in 4 channel RGBW variant</t>
  </si>
  <si>
    <t>https://www.pololu.com/file/0J1233/sk6812_datasheet.pdf</t>
  </si>
  <si>
    <t>SK6812 Pixel Protocol Overview | Advatek Lighting</t>
  </si>
  <si>
    <t xml:space="preserve">SK6813 </t>
  </si>
  <si>
    <t>SK6813 Pixel Protocol Overview | Advatek Lighting</t>
  </si>
  <si>
    <t>SK6813 HV</t>
  </si>
  <si>
    <t>5050/3535/2040/2020</t>
  </si>
  <si>
    <t>Individually addressable RGB pixel; cheap and everywhere</t>
  </si>
  <si>
    <t>WorldSemi</t>
  </si>
  <si>
    <t>https://cdn-shop.adafruit.com/datasheets/WS2812.pdf</t>
  </si>
  <si>
    <t>WS2812 Pixel Protocol Overview | Advatek Lighting</t>
  </si>
  <si>
    <t>WS2813</t>
  </si>
  <si>
    <t>WS2812b update with Back Up Data Line</t>
  </si>
  <si>
    <t xml:space="preserve">WorldSemi/Newstar </t>
  </si>
  <si>
    <t>http://newstar-ledstrip.com/product/20171208112004735.pdf</t>
  </si>
  <si>
    <t>WS2813 Pixel Protocol Overview | Advatek Lighting</t>
  </si>
  <si>
    <t>WS2815</t>
  </si>
  <si>
    <t>12V WS2813</t>
  </si>
  <si>
    <t>WorldSemi/Newstar</t>
  </si>
  <si>
    <t>http://newstar-ledstrip.com/product/20180125101420006.pdf</t>
  </si>
  <si>
    <t>WS2815 Pixel Protocol Overview | Advatek Lighting</t>
  </si>
  <si>
    <t>12V WS2812 with RGB + external LEDs</t>
  </si>
  <si>
    <t>8+5</t>
  </si>
  <si>
    <t>5050 &amp; 2020</t>
  </si>
  <si>
    <t>APA102</t>
  </si>
  <si>
    <t>~250 - CLK sensitive</t>
  </si>
  <si>
    <t>Fast refresh, fast PWM, except extra 5 bits PWM at 400Hz</t>
  </si>
  <si>
    <t>http://neon-world.com/en/product_detail.php?cid=59&amp;id=167</t>
  </si>
  <si>
    <t>https://cdn-shop.adafruit.com/datasheets/APA102.pdf</t>
  </si>
  <si>
    <t>APA102 Pixel Protocol Overview | Advatek Lighting</t>
  </si>
  <si>
    <t>APA102C</t>
  </si>
  <si>
    <t>Very similar to its previous version, APA102, APA102C provides a larger metallic area for better heat dissipation.</t>
  </si>
  <si>
    <t>APA102C Pixel Protocol Overview | Advatek Lighting</t>
  </si>
  <si>
    <t>Economic type of APA102, cheaper with lower PWM; produced by Newstar</t>
  </si>
  <si>
    <t>http://newstar-ledstrip.com/productshow816.html</t>
  </si>
  <si>
    <t>GRBW</t>
  </si>
  <si>
    <t>4chWS2811/12</t>
  </si>
  <si>
    <t>WS2812b clone like SK6812 RGBW variant</t>
  </si>
  <si>
    <t>APA109 Pixel Protocol Overview | Advatek Lighting</t>
  </si>
  <si>
    <t>HD107S</t>
  </si>
  <si>
    <t>17.0mA</t>
  </si>
  <si>
    <t>5050, 2020</t>
  </si>
  <si>
    <t>APA107 Competitor/clone</t>
  </si>
  <si>
    <t>https://www.rose-lighting.com/wp-content/uploads/sites/53/2019/10/0000155-1.pdf</t>
  </si>
  <si>
    <t>HD107S Pixel Protocol Overview | Advatek Lighting</t>
  </si>
  <si>
    <t xml:space="preserve">upgrade of APA107, same protocol with APA102, higher PWM 27khz, more stable </t>
  </si>
  <si>
    <t>http://www.newstar-ledstrip.com/product/20190710114547839.pdf</t>
  </si>
  <si>
    <t>APA102 Clone. Extra 5 bits uses constant current driver, no change in PWM.</t>
  </si>
  <si>
    <t>https://cpldcpu.wordpress.com/2016/12/13/sk9822-a-clone-of-the-apa102/</t>
  </si>
  <si>
    <t>https://www.pololu.com/file/0J1234/sk9822_datasheet.pdf</t>
  </si>
  <si>
    <t>SK9822 Pixel Protocol Overview | Advatek Lighting</t>
  </si>
  <si>
    <t>WS2816</t>
  </si>
  <si>
    <t>7</t>
  </si>
  <si>
    <t>HD108</t>
  </si>
  <si>
    <t>HD107s with 64bit color</t>
  </si>
  <si>
    <t>https://www.rose-lighting.com/wp-content/uploads/sites/53/2021/03/HD108-5050-LED-Specificaion-V1.1.0-Rose-Lighting.pdf</t>
  </si>
  <si>
    <t>View technical specs and advantages of the pixel protocol HD108. - Advatek</t>
  </si>
  <si>
    <t>NS108</t>
  </si>
  <si>
    <t>16+5</t>
  </si>
  <si>
    <t>16bit/color version of NS107S</t>
  </si>
  <si>
    <t>http://newstar-ledstrip.com/productshow848.html</t>
  </si>
  <si>
    <t>SK9826</t>
  </si>
  <si>
    <t>16bit/color version of APA102 copy SK9822, aka SK9826</t>
  </si>
  <si>
    <t>http://newstar-ledstrip.com/product/20191018160652775.pdf</t>
  </si>
  <si>
    <t>5050, 3535</t>
  </si>
  <si>
    <t>16bit/color version of APA102 copy SK9822</t>
  </si>
  <si>
    <t>http://newstar-ledstrip.com/product/20190927165451294.pdf</t>
  </si>
  <si>
    <t>APA106</t>
  </si>
  <si>
    <t>5V WS2811 clone in 5 and 8mm package</t>
  </si>
  <si>
    <t>https://datasheet4u.com/datasheet-pdf/ETC/APA-106/pdf.php?id=1139107</t>
  </si>
  <si>
    <t>LC2823-2020</t>
  </si>
  <si>
    <t>3-7.5V</t>
  </si>
  <si>
    <t>5V</t>
  </si>
  <si>
    <t>27kHz</t>
  </si>
  <si>
    <t>18.0mA</t>
  </si>
  <si>
    <t>?</t>
  </si>
  <si>
    <t>2020</t>
  </si>
  <si>
    <t>LC8823</t>
  </si>
  <si>
    <t>SK6818</t>
  </si>
  <si>
    <t>RGBW</t>
  </si>
  <si>
    <t>https://asset.conrad.com/media10/add/160267/c1/-/en/001575814DS01/datasheet-1575814-thomsen-strip-5m-300-rgbw-ip68-led-pasik-entrieda-a-a-e-zastrcky-zasuvka-5-v-5-m-rgbw.pdf</t>
  </si>
  <si>
    <t>SK6818 Pixel Protocol Overview | Advatek Lighting</t>
  </si>
  <si>
    <t>SK6822</t>
  </si>
  <si>
    <t>SK6822 Pixel Protocol Overview | Advatek Lighting</t>
  </si>
  <si>
    <t>SK9822-A</t>
  </si>
  <si>
    <t>Higher PWM version of SK9822</t>
  </si>
  <si>
    <t>SM1616</t>
  </si>
  <si>
    <t>WS2815 RGBW</t>
  </si>
  <si>
    <t>World Semi</t>
  </si>
  <si>
    <t>https://www.lcsc.com/datasheet/lcsc_datasheet_2406271507_Worldsemi-WS2815B-RGBW_C19188610.pdf</t>
  </si>
  <si>
    <t>Channels</t>
  </si>
  <si>
    <t>Channel Bits</t>
  </si>
  <si>
    <t>Aggregate Bits</t>
  </si>
  <si>
    <t>Output Voltage</t>
  </si>
  <si>
    <t>Supply Voltage</t>
  </si>
  <si>
    <t>DMX512</t>
  </si>
  <si>
    <t>SOP8</t>
  </si>
  <si>
    <t>8</t>
  </si>
  <si>
    <t>DMX512P</t>
  </si>
  <si>
    <t>DMX512 Pixel Protocol Overview | Advatek Lighting</t>
  </si>
  <si>
    <t>GS8202</t>
  </si>
  <si>
    <t>GS8202 Pixel Protocol Overview | Advatek Lighting</t>
  </si>
  <si>
    <t>GS8206</t>
  </si>
  <si>
    <t>GS8206 Pixel Protocol Overview | Advatek Lighting</t>
  </si>
  <si>
    <t>GS8208</t>
  </si>
  <si>
    <t>SOP16/QFN16</t>
  </si>
  <si>
    <t>16</t>
  </si>
  <si>
    <t>LPD6803</t>
  </si>
  <si>
    <t>obsolete; superseded by LPD8806</t>
  </si>
  <si>
    <t>https://cdn-shop.adafruit.com/datasheets/LPD6803.pdf</t>
  </si>
  <si>
    <t>LPD6803 Pixel Protocol Overview | Advatek Lighting</t>
  </si>
  <si>
    <t>LPD8806</t>
  </si>
  <si>
    <t>Fast refresh, fast PWM, 2 RGB pixels per IC, refresh any time</t>
  </si>
  <si>
    <t>https://web.archive.org/web/20180725021448/https://www.texonix.com/LPD8806.html</t>
  </si>
  <si>
    <t>LPD8806 Pixel Protocol Overview | Advatek Lighting</t>
  </si>
  <si>
    <t>MBI6020</t>
  </si>
  <si>
    <t>MBI6020 Pixel Protocol Overview | Advatek Lighting</t>
  </si>
  <si>
    <t>MY9221</t>
  </si>
  <si>
    <t>MY9221 Pixel Protocol Overview | Advatek Lighting</t>
  </si>
  <si>
    <t>8/12/14/16</t>
  </si>
  <si>
    <t>SOP16/SSOP16/QFN16</t>
  </si>
  <si>
    <t>MY9231</t>
  </si>
  <si>
    <t>http://www.my-semi.com/file/MY9231_BF_0.91.pdf</t>
  </si>
  <si>
    <t>MY9231 Pixel Protocol Overview | Advatek Lighting</t>
  </si>
  <si>
    <t>MY9291</t>
  </si>
  <si>
    <t>MY9291 Pixel Protocol Overview | Advatek Lighting</t>
  </si>
  <si>
    <t>P9813</t>
  </si>
  <si>
    <t>SOP14/DIP14</t>
  </si>
  <si>
    <t>14</t>
  </si>
  <si>
    <t>old but fast, still used in strings such as TCL</t>
  </si>
  <si>
    <t>P9813 Pixel Protocol Overview | Advatek Lighting</t>
  </si>
  <si>
    <t>QED3001</t>
  </si>
  <si>
    <t>SOP8/10/14</t>
  </si>
  <si>
    <t>8/10/14</t>
  </si>
  <si>
    <t>QED3001 Pixel Protocol Overview | Advatek Lighting</t>
  </si>
  <si>
    <t>SK6812(5050)</t>
  </si>
  <si>
    <t>https://cdn-shop.adafruit.com/product-files/1138/SK6812+LED+datasheet+.pdf</t>
  </si>
  <si>
    <t>SM16511</t>
  </si>
  <si>
    <t>SOP10/SOP16</t>
  </si>
  <si>
    <t>10/16</t>
  </si>
  <si>
    <t>SM16511 Pixel Protocol Overview | Advatek Lighting</t>
  </si>
  <si>
    <t>SM16703</t>
  </si>
  <si>
    <t>SM16703 Pixel Protocol Overview | Advatek Lighting</t>
  </si>
  <si>
    <t>SM16712</t>
  </si>
  <si>
    <t>SOP16</t>
  </si>
  <si>
    <t>SM16712 Pixel Protocol Overview | Advatek Lighting</t>
  </si>
  <si>
    <t>SM16716</t>
  </si>
  <si>
    <t>SM16716 Pixel Protocol Overview | Advatek Lighting</t>
  </si>
  <si>
    <t>TC2811</t>
  </si>
  <si>
    <t>WS2811 Clone</t>
  </si>
  <si>
    <t>TLS3001</t>
  </si>
  <si>
    <t>TLS3001 Pixel Protocol Overview | Advatek Lighting</t>
  </si>
  <si>
    <t>TM1803</t>
  </si>
  <si>
    <t>TM1803 Pixel Protocol Overview | Advatek Lighting</t>
  </si>
  <si>
    <t>http://www.ledlightmake.com/ledlightmake_serv/TM1804%20Datasheet.pdf</t>
  </si>
  <si>
    <t>TM1804 Pixel Protocol Overview | Advatek Lighting</t>
  </si>
  <si>
    <t>TM1809</t>
  </si>
  <si>
    <t>SOP14</t>
  </si>
  <si>
    <t>TM1809 Pixel Protocol Overview | Advatek Lighting</t>
  </si>
  <si>
    <t>TM1814</t>
  </si>
  <si>
    <t>TM1814 Pixel Protocol Overview | Advatek Lighting</t>
  </si>
  <si>
    <t>TM1829</t>
  </si>
  <si>
    <t>TM1829 Pixel Protocol Overview | Advatek Lighting</t>
  </si>
  <si>
    <t>TM1914</t>
  </si>
  <si>
    <t>SOP10</t>
  </si>
  <si>
    <t>10</t>
  </si>
  <si>
    <t>TM1914 Pixel Protocol Overview | Advatek Lighting</t>
  </si>
  <si>
    <t>UCS1903 Pixel Protocol Overview | Advatek Lighting</t>
  </si>
  <si>
    <t>UCS1904</t>
  </si>
  <si>
    <t>UCS1904 Pixel Protocol Overview | Advatek Lighting</t>
  </si>
  <si>
    <t>UCS2903</t>
  </si>
  <si>
    <t>UCS2903 Pixel Protocol Overview | Advatek Lighting</t>
  </si>
  <si>
    <t>UCS2904</t>
  </si>
  <si>
    <t>UCS2904 Pixel Protocol Overview | Advatek Lighting</t>
  </si>
  <si>
    <t>SM16704 Pixel Protocol Overview | Advatek Lighting</t>
  </si>
  <si>
    <t>UCS512B</t>
  </si>
  <si>
    <t>UCS512B Pixel Protocol Overview | Advatek Lighting</t>
  </si>
  <si>
    <t>UCS8903</t>
  </si>
  <si>
    <t>Early 16bit/color version of UCS1903 (WS2811 equiv)</t>
  </si>
  <si>
    <t>https://www.dhgate.com/product/ucs8903-ic-3-channel-led-constant-current/421634760.html</t>
  </si>
  <si>
    <t>UCS8903 Pixel Protocol Overview | Advatek Lighting</t>
  </si>
  <si>
    <t>UCS8904</t>
  </si>
  <si>
    <t>UCS8904 Pixel Protocol Overview | Advatek Lighting</t>
  </si>
  <si>
    <t>UCS9812</t>
  </si>
  <si>
    <t>UCS9812 Pixel Protocol Overview | Advatek Lighting</t>
  </si>
  <si>
    <t>SO14/DIP14</t>
  </si>
  <si>
    <t>WS2801</t>
  </si>
  <si>
    <t>Early Addressable LED controller still common on 4 wire pixel and puck strings</t>
  </si>
  <si>
    <t>https://www.futurlec.com/Others/WS2801.shtml</t>
  </si>
  <si>
    <t>WS2801 Pixel Protocol Overview | Advatek Lighting</t>
  </si>
  <si>
    <t>WS2805</t>
  </si>
  <si>
    <t>RGB+CCT with data backup line</t>
  </si>
  <si>
    <t>SOIC8/DIP8</t>
  </si>
  <si>
    <t>Addressable in groups (usually of 3 LEDs), common on 3 wire pixels, pucks, floods</t>
  </si>
  <si>
    <t>https://cdn-shop.adafruit.com/datasheets/WS2811.pdf</t>
  </si>
  <si>
    <t>WS2811 Pixel Protocol Overview | Advatek Lighting</t>
  </si>
  <si>
    <t>WS2811 V1.4</t>
  </si>
  <si>
    <t>WS2811 V1.4 Pixel Protocol Overview | Advatek Lighting</t>
  </si>
  <si>
    <t>WS2814</t>
  </si>
  <si>
    <t>SOP12</t>
  </si>
  <si>
    <t>12</t>
  </si>
  <si>
    <t>WS2814 Pixel Protocol Overview | Advatek Lighting</t>
  </si>
  <si>
    <t>SOP8,CPC8</t>
  </si>
  <si>
    <t>12V WS2813 as separate IC</t>
  </si>
  <si>
    <t>WS2818 Pixel Protocol Overview | Advatek Lighting</t>
  </si>
  <si>
    <t>Manufacturer/Designer</t>
  </si>
  <si>
    <t>Max Channels</t>
  </si>
  <si>
    <t>Unit Price (USD)</t>
  </si>
  <si>
    <t>DIY/OTS</t>
  </si>
  <si>
    <t>ATtiny10</t>
  </si>
  <si>
    <t>Wayne Holder</t>
  </si>
  <si>
    <t xml:space="preserve">allows driving 3-wire clockless leds with 4-wire clocked protocol. Experimental </t>
  </si>
  <si>
    <t>solder, breakout</t>
  </si>
  <si>
    <t>DIY</t>
  </si>
  <si>
    <t>Wayne only provides a proof of concept.</t>
  </si>
  <si>
    <t>https://sites.google.com/site/wayneholder/besting-ben-heck, https://youtu.be/WRpBvGvh-7Q</t>
  </si>
  <si>
    <t>Baldrick DMX</t>
  </si>
  <si>
    <t>Ilightthat</t>
  </si>
  <si>
    <t>WS28XX data to DMX 512</t>
  </si>
  <si>
    <t>OTS</t>
  </si>
  <si>
    <t>3 and 5 pin and RJ45 DMX outputs on board</t>
  </si>
  <si>
    <t>https://baldrickboard.com/docs/category/baldrickdmx</t>
  </si>
  <si>
    <t>Controller Changeover</t>
  </si>
  <si>
    <t>WLed override from other pixel control to single output</t>
  </si>
  <si>
    <t>Data</t>
  </si>
  <si>
    <t>https://www.tindie.com/products/k7bbr/led-controller-multiplexer/</t>
  </si>
  <si>
    <t>NeopixelBooster</t>
  </si>
  <si>
    <t>Jan "yaqwsx" Mrázek</t>
  </si>
  <si>
    <t>Inline 5V buck convertor</t>
  </si>
  <si>
    <t>solder</t>
  </si>
  <si>
    <t>https://www.tindie.com/products/yaqwsx/rb0004-neopixelbooster/</t>
  </si>
  <si>
    <t>Pixel 2 DMX</t>
  </si>
  <si>
    <t>X Connect /XLR3</t>
  </si>
  <si>
    <t>https://experiencelights.com/pixel2dmx---realtime-dmx-bridge/</t>
  </si>
  <si>
    <t>David Peace</t>
  </si>
  <si>
    <t>Converts pixel data into relay drivers capable of switching 120VAC</t>
  </si>
  <si>
    <t>Relay</t>
  </si>
  <si>
    <t>WSXX to 9 Relay ouput card</t>
  </si>
  <si>
    <t>https://www.pixel2things.com/</t>
  </si>
  <si>
    <t>Converts pixel data into hobby servo outputs</t>
  </si>
  <si>
    <t>PWM</t>
  </si>
  <si>
    <t>WS to 9DC and 6 Servo Outputs</t>
  </si>
  <si>
    <t xml:space="preserve">Pixel Data Isolator </t>
  </si>
  <si>
    <t xml:space="preserve">Essence Engineering </t>
  </si>
  <si>
    <t>provides a 5kV isolated data connection from controller to LED when each are powered separately.</t>
  </si>
  <si>
    <t>https://www.tindie.com/products/essenceeng/fajardo-led-data-isolator/</t>
  </si>
  <si>
    <t>PixFog Pixel Based Fog Controller</t>
  </si>
  <si>
    <t>Innotronix</t>
  </si>
  <si>
    <t>Pixel Data</t>
  </si>
  <si>
    <t>Single channel intensity variable fog controller for specific fog machines,</t>
  </si>
  <si>
    <t>https://innotronix.net/PixFog-Pixel-Based-Fog-Controller-p232730399</t>
  </si>
  <si>
    <t>QuinLED Dig2Analog</t>
  </si>
  <si>
    <t>ws2814 to RGBW PWM Mosfet output</t>
  </si>
  <si>
    <t>Screw Terminals</t>
  </si>
  <si>
    <t>4x 2kHz PWM output, 3A fuse, Daisy chain ability</t>
  </si>
  <si>
    <t>https://quinled.info/quinled-dig2analog/</t>
  </si>
  <si>
    <t>WS2811 MosFet  Driver</t>
  </si>
  <si>
    <t>Eagle Decorations</t>
  </si>
  <si>
    <t>WS2811 to High current Mosfet</t>
  </si>
  <si>
    <t xml:space="preserve">solder, </t>
  </si>
  <si>
    <t>https://www.tindie.com/products/ericgu/ws2811-ws2812-extender/</t>
  </si>
  <si>
    <t>NLed</t>
  </si>
  <si>
    <t>https://store.nledshop.com/index.php/nled-ws2811-mosfet-driver-module.html</t>
  </si>
  <si>
    <t>Freetronics</t>
  </si>
  <si>
    <t>https://www.freetronics.com.au/products/addressable-n-mosfet-driver-output-module#.XiWsEDL7TIX</t>
  </si>
  <si>
    <t>LED Strip Driver Module</t>
  </si>
  <si>
    <t>AliExpress</t>
  </si>
  <si>
    <t>https://de.aliexpress.com/item/32786272573.html?spm=a2g0o.productlist.main.19.4039UqYwUqYwEq&amp;algo_pvid=8add68a7-f316-420a-88fd-aec8a96d9bd9&amp;algo_exp_id=8add68a7-f316-420a-88fd-aec8a96d9bd9-9&amp;pdp_ext_f=%7B%22order%22%3A%22100%22%2C%22eval%22%3A%221%22%7D&amp;pdp_npi=4%40dis%21EUR%212.46%210.98%21%21%212.48%210.99%21%40211b430817386563933403178e4f0f%2163365110433%21sea%21AT%210%21ABX&amp;curPageLogUid=zQTH3Os98s1N&amp;utparam-url=scene%3Asearch%7Cquery_from%3A</t>
  </si>
  <si>
    <t>Standard Differential Receiver</t>
  </si>
  <si>
    <t>Differential Pairs</t>
  </si>
  <si>
    <t>SN74AHCT125N</t>
  </si>
  <si>
    <t>Texas Instruments</t>
  </si>
  <si>
    <t>Through-Hole DIP</t>
  </si>
  <si>
    <t>https://www.ti.com/product/SN74AHCT125</t>
  </si>
  <si>
    <t>TC4427</t>
  </si>
  <si>
    <t>Microchip</t>
  </si>
  <si>
    <t>https://electricfiredesign.com/2021/03/12/logic-level-shifters-for-driving-led-strips/</t>
  </si>
  <si>
    <t>1.5A</t>
  </si>
  <si>
    <t>https://www.microchip.com/en-us/product/TC4427</t>
  </si>
  <si>
    <t>SN74LVC2T45</t>
  </si>
  <si>
    <r>
      <rPr>
        <color rgb="FF1155CC"/>
        <u/>
      </rPr>
      <t>https://www.ti.com/product/SN74LVC2T45</t>
    </r>
    <r>
      <rPr/>
      <t>5</t>
    </r>
  </si>
  <si>
    <t>TXS0108e</t>
  </si>
  <si>
    <t>SN74LV1T34DBVRG4</t>
  </si>
  <si>
    <t>SOT 23</t>
  </si>
  <si>
    <t>7V</t>
  </si>
  <si>
    <t>https://www.ti.com/product/SN74LV1T34/part-details/SN74LV1T34DBVRG4</t>
  </si>
  <si>
    <t>74HCT244</t>
  </si>
  <si>
    <t>PDIP largest</t>
  </si>
  <si>
    <t>5.5V</t>
  </si>
  <si>
    <t>https://www.ti.com/product/SN74HCT244</t>
  </si>
  <si>
    <t>TXU0104</t>
  </si>
  <si>
    <t>74HC245</t>
  </si>
  <si>
    <t>8mA</t>
  </si>
  <si>
    <t>https://www.ti.com/product/SN74HC245</t>
  </si>
  <si>
    <t>Product</t>
  </si>
  <si>
    <t>Max LED Current</t>
  </si>
  <si>
    <t>Parent</t>
  </si>
  <si>
    <t>Arjan van Vught</t>
  </si>
  <si>
    <t>single +clocked</t>
  </si>
  <si>
    <t>Orange Pi</t>
  </si>
  <si>
    <t>http://orangepi-dmx.org/</t>
  </si>
  <si>
    <t>Allows easy control of DMX-512 devices from Pi</t>
  </si>
  <si>
    <t xml:space="preserve">Raspberry Pi </t>
  </si>
  <si>
    <t>XLR3/5</t>
  </si>
  <si>
    <t>http://bitwizard.nl/shop/DMX-interface-for-Raspberry-pi</t>
  </si>
  <si>
    <t>DuotrigesimalWS28111</t>
  </si>
  <si>
    <t>Brian Amos</t>
  </si>
  <si>
    <t>Teensy 4.1</t>
  </si>
  <si>
    <t>A board similar to the octoWS2811 designed for the Teensy 4.1 with 32 output ports</t>
  </si>
  <si>
    <t>https://github.com/brianamos1/DuotrigesimalWS2811</t>
  </si>
  <si>
    <t>https://www.tindie.com/products/amoscomputing/teensy-41-pixel-pusher/</t>
  </si>
  <si>
    <t>diy/board design</t>
  </si>
  <si>
    <t>ESP-01 (ESP8266)</t>
  </si>
  <si>
    <t>https://www.doityourselfchristmas.com/wiki/index.php?title=ESPixel_Stick_%26_ESPixel_Pops</t>
  </si>
  <si>
    <t>Serial LED Driver</t>
  </si>
  <si>
    <t>Single or Clocked</t>
  </si>
  <si>
    <t>Any UART / Serial</t>
  </si>
  <si>
    <t>https://www.tindie.com/products/electromage/electromage-serial-to-8x-ws2812apa102-driver/</t>
  </si>
  <si>
    <t>Pro Serial LED Driver</t>
  </si>
  <si>
    <t>Single (8) or Clocked (6)</t>
  </si>
  <si>
    <t>https://www.tindie.com/products/electromage/electromage-pro-5-12v-8x-ws2812apa102-led-driver/</t>
  </si>
  <si>
    <t>Evil Genius Labs</t>
  </si>
  <si>
    <t>Wemos Dx Mini (ESP32/ESP8266)</t>
  </si>
  <si>
    <t>https://www.tindie.com/products/9723/</t>
  </si>
  <si>
    <t>Adafruit Feather</t>
  </si>
  <si>
    <t>https://www.tindie.com/products/11579/</t>
  </si>
  <si>
    <t>https://www.tindie.com/products/16255/</t>
  </si>
  <si>
    <t>NodeMCU ESP32</t>
  </si>
  <si>
    <t>https://www.tindie.com/products/15247/</t>
  </si>
  <si>
    <t>https://www.tindie.com/products/19174/</t>
  </si>
  <si>
    <t>SP901E Pixel Data Distributor</t>
  </si>
  <si>
    <t>Generic</t>
  </si>
  <si>
    <t>8 Ch Pixel data distribution</t>
  </si>
  <si>
    <t>Pixel data duplicated to 8 output channels</t>
  </si>
  <si>
    <t>https://www.superlightingled.com/dc524v-4-channel-spi-signal-output-data-signal-sp901e-amplifier-for-programmable-dream-color-6803-1903-1809-1812-2811-ic-led-light-strips-p-3125.html</t>
  </si>
  <si>
    <t>Hanson Electroncs</t>
  </si>
  <si>
    <t>Single and Clocked</t>
  </si>
  <si>
    <t>Raspberry Pi</t>
  </si>
  <si>
    <t>http://www.hansonelectronics.com.au/product/rpi-28d/</t>
  </si>
  <si>
    <t>ESP PixNode SDCard Adapter</t>
  </si>
  <si>
    <t>Jboards</t>
  </si>
  <si>
    <t>SD Card Adapter for ESPixelstick allows replay of Xlights Fseq files</t>
  </si>
  <si>
    <t>https://jboards.ecwid.com/ESPixNode-microSD-adapter-p428060492</t>
  </si>
  <si>
    <t>https://jboards.ecwid.com/Pixel-String-Pihat-Zero-p133155360</t>
  </si>
  <si>
    <t>ArtgateOne</t>
  </si>
  <si>
    <t>Krzysztof Korzeniowski</t>
  </si>
  <si>
    <t>1 Universe Artnet to DMX Node</t>
  </si>
  <si>
    <t>Arduino Uno</t>
  </si>
  <si>
    <t>Artnet to DMX single Universe with OLED display, maintained ,modern project</t>
  </si>
  <si>
    <t>https://github.com/ArtGateOne/ArtGateOne-DMX?</t>
  </si>
  <si>
    <t>Artnet to WS2812 1 Universe</t>
  </si>
  <si>
    <t>Artnet to 170 Pixels , single universe</t>
  </si>
  <si>
    <t>https://github.com/ArtGateOne/ArtGateOne-LED</t>
  </si>
  <si>
    <t>Kulp Lights</t>
  </si>
  <si>
    <t>Panel</t>
  </si>
  <si>
    <t>PocketBeagle</t>
  </si>
  <si>
    <t>HUB75</t>
  </si>
  <si>
    <t>https://kulplights.com/product/pocketscroller/</t>
  </si>
  <si>
    <t>BeagleBone</t>
  </si>
  <si>
    <t>https://kulplights.com/product/f8-b/</t>
  </si>
  <si>
    <t>https://kulplights.com/product/f8-pb/</t>
  </si>
  <si>
    <t>https://kulplights.com/product/f32-b/</t>
  </si>
  <si>
    <t>https://kulplights.com/product/f40d-pb/</t>
  </si>
  <si>
    <t>EspArtStick WLED</t>
  </si>
  <si>
    <t>Wemos D1 Mini (ESP32/ESP8266)</t>
  </si>
  <si>
    <t>30A</t>
  </si>
  <si>
    <t>Raspberry Pi 3B+ or above</t>
  </si>
  <si>
    <t>Pi Hat</t>
  </si>
  <si>
    <t>Wemos ESP32 Driver Board</t>
  </si>
  <si>
    <t>Mottram Labs</t>
  </si>
  <si>
    <t>WeMos Mini</t>
  </si>
  <si>
    <t>On board fuse , 5V regulator, 74 HCT Buffer</t>
  </si>
  <si>
    <t>https://www.ebay.co.uk/itm/133705567939?hash=item1f21790ec3:g:IAUAAOSwo5VgXL05</t>
  </si>
  <si>
    <t>Wemos PWM RGB/W LED Driver Board</t>
  </si>
  <si>
    <t>Fet power output</t>
  </si>
  <si>
    <t>WeMos D1 Mini (ESP32/ESP8266)</t>
  </si>
  <si>
    <t>RGBW MosFet driver fro strips compatible with Wled</t>
  </si>
  <si>
    <t>https://www.ebay.co.uk/itm/133875147448?hash=item1f2b94a2b8:g:4rAAAOSwRG1hPezJ</t>
  </si>
  <si>
    <t>Plasma 2040</t>
  </si>
  <si>
    <t>Pimoroni</t>
  </si>
  <si>
    <t>Rpi 2040</t>
  </si>
  <si>
    <t>screw Terminals</t>
  </si>
  <si>
    <t>https://shop.pimoroni.com/products/plasma-2040</t>
  </si>
  <si>
    <t>https://www.pixelcontroller.com/store/index.php?id_product=47</t>
  </si>
  <si>
    <t>PJRC</t>
  </si>
  <si>
    <t>Teensy 3.2</t>
  </si>
  <si>
    <t>https://www.pjrc.com/store/octo28_adaptor.html</t>
  </si>
  <si>
    <t>ESP8266 or ESP32</t>
  </si>
  <si>
    <t>WLED wemos shield</t>
  </si>
  <si>
    <t>SerKo</t>
  </si>
  <si>
    <t>Single+Clocked</t>
  </si>
  <si>
    <t>Easy to assemble with TH parts</t>
  </si>
  <si>
    <t>https://github.com/srg74/WLED-wemos-shield</t>
  </si>
  <si>
    <t>IP67 Controller for WLED</t>
  </si>
  <si>
    <t>ESP-07S module</t>
  </si>
  <si>
    <t>IP67 plug</t>
  </si>
  <si>
    <t>https://github.com/srg74/Controller-for-WLED-firmware</t>
  </si>
  <si>
    <t>ESP32 ThingPlus DMX to LED</t>
  </si>
  <si>
    <t>Sparkfun</t>
  </si>
  <si>
    <t xml:space="preserve">ESP32 </t>
  </si>
  <si>
    <t>Poke Home</t>
  </si>
  <si>
    <t>Isolated DMX , Artnet compatible</t>
  </si>
  <si>
    <t>https://www.sparkfun.com/products/15110</t>
  </si>
  <si>
    <t>Tindie</t>
  </si>
  <si>
    <t>https://www.tindie.com/products/ManiacalLabs/pipixel-raspberry-pi-led-strip-hat/</t>
  </si>
  <si>
    <t>https://www.tindie.com/products/EssenceEng/led-octopus/?pt=ac_prod_search&amp;fbclid=IwAR0w77lL9NKRWRN5rjs89GbIYH6X89oUKeTyQUXs0GWmvsbt0Y-RF29wdO8</t>
  </si>
  <si>
    <t>4 Channel Differntial Transmitter</t>
  </si>
  <si>
    <t>Wizard of Wire</t>
  </si>
  <si>
    <t>4 Channel differntial transmitter output to RJ45 fir connection with Cat5</t>
  </si>
  <si>
    <t>https://www.wizardofwire.com/product/data-to-differential-board/</t>
  </si>
  <si>
    <t>Meanwell PDU with Differential Reciever</t>
  </si>
  <si>
    <t>Meanwell 350w PSU</t>
  </si>
  <si>
    <t>4 Channel differential receiver and fused power distribution bolts straight on to PSU</t>
  </si>
  <si>
    <t>https://www.wizardofwire.com/product/meanwell-differential-receiver-w-power-injection//</t>
  </si>
  <si>
    <t>https://www.amazon.com/ACROBOTIC-ESP8266-Adapter-WS2812B-Raspberry/dp/B07JFCGH8C</t>
  </si>
  <si>
    <t>NodeMCU (ESP8266)</t>
  </si>
  <si>
    <t>https://jboards.ecwid.com/ESPixNode-p127558674</t>
  </si>
  <si>
    <t>https://espartstick.ecwid.com/</t>
  </si>
  <si>
    <t>ESP8266</t>
  </si>
  <si>
    <t>https://www.amazon.com/ESPixelStick-Wireless-DMX-Pixel-Controller/dp/B072XT1V77/</t>
  </si>
  <si>
    <t>Phoniex Screw</t>
  </si>
  <si>
    <t>https://quinled.info/2018/10/12/quinled-dig-uno-hardware-guide/#quinled-quad-pcb-boards</t>
  </si>
  <si>
    <t>http://spixels.org/</t>
  </si>
  <si>
    <t>PixelLauncher Gen 2 Micro</t>
  </si>
  <si>
    <t>Digital Ambience</t>
  </si>
  <si>
    <t>24V</t>
  </si>
  <si>
    <t>LED data up to 250 ft right out of your controller No sender. It cleans up the signal.</t>
  </si>
  <si>
    <t>https://www.digitalambiance.com/product/pixellauncher-gen-2-micro/</t>
  </si>
  <si>
    <t>`</t>
  </si>
  <si>
    <t>Hardware</t>
  </si>
  <si>
    <t>Features</t>
  </si>
  <si>
    <t xml:space="preserve">YouTube </t>
  </si>
  <si>
    <t>Instructional Resources</t>
  </si>
  <si>
    <t>Instructional Resources 2</t>
  </si>
  <si>
    <t>Xaver2K</t>
  </si>
  <si>
    <t>Arduino Nano &amp;Ethernet Shield</t>
  </si>
  <si>
    <t>WS2811/12 Ethernet Hardwire</t>
  </si>
  <si>
    <t>https://github.com/Xaver2k/ArduinoENC_Artnet-WS2811</t>
  </si>
  <si>
    <t>Artemis</t>
  </si>
  <si>
    <t>Robert Beekman</t>
  </si>
  <si>
    <t>PC /  Video source</t>
  </si>
  <si>
    <t>Artemis is a lighting software for gamers that creates realistic lighting effects by using device location.</t>
  </si>
  <si>
    <t>https://artemis-rgb.com/</t>
  </si>
  <si>
    <t>natcl</t>
  </si>
  <si>
    <t>Arduino/Teensie/ESP8266</t>
  </si>
  <si>
    <t>https://github.com/natcl/Artnet</t>
  </si>
  <si>
    <t>ATCE</t>
  </si>
  <si>
    <t>Wireshark captured artnet stream convert to TMP2(Jinx native) file</t>
  </si>
  <si>
    <t>http://www.tlhome.de/ATCE.htm</t>
  </si>
  <si>
    <t>ArtNet_DMX_SD_Card</t>
  </si>
  <si>
    <t>tangophi</t>
  </si>
  <si>
    <t>NodeMcu /ESP8266/32</t>
  </si>
  <si>
    <t>store DMX frames received through Artnet on a nodemcu or a ESP8266/ESP12 module to a SD card</t>
  </si>
  <si>
    <t>https://github.com/tangophi/Artnet_DMX_SD_Card</t>
  </si>
  <si>
    <t>Artnet2twinkly</t>
  </si>
  <si>
    <t>John Lord</t>
  </si>
  <si>
    <t>Twinkly</t>
  </si>
  <si>
    <t>ArtNet to Twinkly consumer lights via wifi, allows control of Twinkly via professional lighting controls</t>
  </si>
  <si>
    <t>http://artnet2twinkly.com/</t>
  </si>
  <si>
    <t>https://youtube.com/channel/UCbd2w11mMNXC9Qekdho1bYw</t>
  </si>
  <si>
    <t>ArtnetWiFi</t>
  </si>
  <si>
    <t>RStephan</t>
  </si>
  <si>
    <t>ESP8266/32</t>
  </si>
  <si>
    <t>https://github.com/rstephan/ArtnetWifi</t>
  </si>
  <si>
    <t>jspolsky</t>
  </si>
  <si>
    <t>Teensy</t>
  </si>
  <si>
    <t>Teensy 3.2 branch controller for up to 8 separate LED strips, based on instructions received over TCP-IP.</t>
  </si>
  <si>
    <t>https://github.com/jspolsky/branchController2</t>
  </si>
  <si>
    <t>ESP-131 GPIO</t>
  </si>
  <si>
    <t>Gary Mueller</t>
  </si>
  <si>
    <t>ESP E1.31 sACN to 8 channel relay decoder/driver</t>
  </si>
  <si>
    <t>https://github.com/garymueller/ESP-131GPIO</t>
  </si>
  <si>
    <t>Shelby Merrick</t>
  </si>
  <si>
    <t>https://github.com/forkineye/ESPixelStick</t>
  </si>
  <si>
    <t>Sonyhome</t>
  </si>
  <si>
    <t>Arduino</t>
  </si>
  <si>
    <t>Ws2812/Apa102/neopixel/dotstar etc. Compact code&amp;data, Separates driver from pixel array, no assembly code, support palette and up to 8 strips in parallel.</t>
  </si>
  <si>
    <t>https://github.com/sonyhome/FAB_LED</t>
  </si>
  <si>
    <t>Fade</t>
  </si>
  <si>
    <t>Eric Arcana</t>
  </si>
  <si>
    <t>ESP32</t>
  </si>
  <si>
    <t>Programming language based WS2812 and PWM LED ESP 32  with Windows based programming interface</t>
  </si>
  <si>
    <t>http://www.riderx.info/fade-an-esp32-animation-system/</t>
  </si>
  <si>
    <t>https://www.youtube.com/watch?v=-CXQz1x2k9o</t>
  </si>
  <si>
    <t>Zach Vorhies (current), Daniel Garcia, Mark Kriegsman</t>
  </si>
  <si>
    <t>many</t>
  </si>
  <si>
    <t>https://github.com/FastLED/FastLED</t>
  </si>
  <si>
    <t>https://www.youtube.com/watch?v=4Ut4UK7612M</t>
  </si>
  <si>
    <t>hpwit</t>
  </si>
  <si>
    <t>https://github.com/hpwit/FASTLEDVIRTUALDRIVER</t>
  </si>
  <si>
    <t>LED Mapper</t>
  </si>
  <si>
    <t>Jason Coon</t>
  </si>
  <si>
    <t>Arduino/ Esp 66/32</t>
  </si>
  <si>
    <t>An online tool to generate and visualize maps for irregular and/or gapped LED layouts, for use with FastLED, Pixelblaze and other libraries.</t>
  </si>
  <si>
    <r>
      <rPr>
        <color rgb="FF1155CC"/>
        <u/>
      </rPr>
      <t>https://github.com/jasoncoon/led-mapper</t>
    </r>
    <r>
      <rPr>
        <color rgb="FF1155CC"/>
        <u/>
      </rPr>
      <t>r</t>
    </r>
  </si>
  <si>
    <t>LED Strip Effects Generator</t>
  </si>
  <si>
    <t>Adriano</t>
  </si>
  <si>
    <t>Create your animation for the Neopixel LED Strip and press "Generate Arduino Code" to get it as code.</t>
  </si>
  <si>
    <t>PWRFLcreative</t>
  </si>
  <si>
    <t>Webcam LED mapping</t>
  </si>
  <si>
    <t>https://github.com/PWRFLcreative/Lightwork</t>
  </si>
  <si>
    <t>MobaLedLib</t>
  </si>
  <si>
    <t>Hardi-St</t>
  </si>
  <si>
    <t>Arduino/ ESP32</t>
  </si>
  <si>
    <t>ESP32  49152 LEDs / DMX512 , signals, sound modules,servos or other actuators via one signal line ,originally model rail aimed useful beyond</t>
  </si>
  <si>
    <t>https://github.com/Hardi-St/MobaLedLib</t>
  </si>
  <si>
    <t>WS281x, SK6812</t>
  </si>
  <si>
    <t>https://github.com/adafruit/Adafruit_NeoPixel</t>
  </si>
  <si>
    <t>https://www.youtube.com/watch?v=vCDfyxNFeEw</t>
  </si>
  <si>
    <t>NightDriverStrip</t>
  </si>
  <si>
    <t>PlummersSoftwareLLC</t>
  </si>
  <si>
    <t>8 channels of WS2812B Python / C++ Pattern Creator</t>
  </si>
  <si>
    <t>https://github.com/PlummersSoftwareLLC/NightDriverStrip</t>
  </si>
  <si>
    <t>https://www.youtube.com/watch?v=UZxY_BLSsGg</t>
  </si>
  <si>
    <t>https://www.pjrc.com/teensy/td_libs_OctoWS2811.html</t>
  </si>
  <si>
    <t>OpenRGB</t>
  </si>
  <si>
    <t>Adam Honse</t>
  </si>
  <si>
    <t>PC RGB hardware</t>
  </si>
  <si>
    <t xml:space="preserve"> control all of your RGB devices from a single app, on both Windows and Linux, </t>
  </si>
  <si>
    <t>https://openrgb.org/index.html</t>
  </si>
  <si>
    <t>Orange PI DMX</t>
  </si>
  <si>
    <t>Tested and documented projects. Bare metal programming of low cost Orange Pi to Pixel, Artnet and DMX devices.</t>
  </si>
  <si>
    <t>https://www.orangepi-dmx.org/</t>
  </si>
  <si>
    <t>Shawn Silverman</t>
  </si>
  <si>
    <t>Teensy LC, 3, 4</t>
  </si>
  <si>
    <t>Teensy DMX RX/TX with support for responding to specific start codes, plus many other features</t>
  </si>
  <si>
    <t>https://github.com/ssilverman/TeensyDMX</t>
  </si>
  <si>
    <t>Ward Ramsdell</t>
  </si>
  <si>
    <t>Teensy4.0</t>
  </si>
  <si>
    <t>32 channels of 1000 LEDs per channel at 33 frames per second</t>
  </si>
  <si>
    <t>https://github.com/wramsdell/TriantaduoWS2811</t>
  </si>
  <si>
    <t>Visuino</t>
  </si>
  <si>
    <t>Mitov Software</t>
  </si>
  <si>
    <t>Arduino/Esp66/32/ RasPi/MicroBit/Teensy</t>
  </si>
  <si>
    <t xml:space="preserve">Windows Graphical Development tool,simple no coding project deveopment.  Good support for WS2812. </t>
  </si>
  <si>
    <t>http://visuino.com/</t>
  </si>
  <si>
    <t>Aircookie</t>
  </si>
  <si>
    <t>Android/Apple App available, built-in patterns, sACN receiver</t>
  </si>
  <si>
    <t>https://github.com/Aircoookie/WLED</t>
  </si>
  <si>
    <t>https://www.youtube.com/watch?v=2wM067jRki8</t>
  </si>
  <si>
    <t>https://install.wled.me/</t>
  </si>
  <si>
    <r>
      <rPr>
        <color rgb="FF1155CC"/>
        <u/>
      </rPr>
      <t>https://www.welcometothefuture.one/blog/wled-get-started</t>
    </r>
    <r>
      <rPr/>
      <t xml:space="preserve">  </t>
    </r>
  </si>
  <si>
    <t>XOD</t>
  </si>
  <si>
    <t>XOD Inc/Open Source</t>
  </si>
  <si>
    <t>Arduino/ ESP 66/32</t>
  </si>
  <si>
    <t>Windows/Mac/Linux Graphical, no coding, Arduino Programming with limited native WS2812 support</t>
  </si>
  <si>
    <t>https://xod.io/</t>
  </si>
  <si>
    <t>https://www.youtube.com/watch?v=XU0u5OEra3o</t>
  </si>
  <si>
    <t>BLIP</t>
  </si>
  <si>
    <t>OSCQuery Enabled, ArtNet multi-ledstrip controller and multi purpose firmware (GPIO, motors, etc.) with a unified control system. ESPNow compatible</t>
  </si>
  <si>
    <t>https://github.com/Golden-Geek/BLIP/</t>
  </si>
  <si>
    <t>SoC</t>
  </si>
  <si>
    <t>CPU</t>
  </si>
  <si>
    <t>ISA</t>
  </si>
  <si>
    <t>Clock Speed</t>
  </si>
  <si>
    <t>RAM</t>
  </si>
  <si>
    <t>Linux</t>
  </si>
  <si>
    <t>Minimum Input Voltage</t>
  </si>
  <si>
    <t>Max Input Voltage</t>
  </si>
  <si>
    <t>GPIO Voltage</t>
  </si>
  <si>
    <t>Wi-Fi</t>
  </si>
  <si>
    <t>PoE</t>
  </si>
  <si>
    <t>BMS</t>
  </si>
  <si>
    <t>IMU</t>
  </si>
  <si>
    <t>ATSAMD21E18</t>
  </si>
  <si>
    <t>ARM Cortex-M0</t>
  </si>
  <si>
    <t>ARMv6-M</t>
  </si>
  <si>
    <t>256kB</t>
  </si>
  <si>
    <t>32kB</t>
  </si>
  <si>
    <t>OTG</t>
  </si>
  <si>
    <t>Diode</t>
  </si>
  <si>
    <t>https://www.adafruit.com/product/3500</t>
  </si>
  <si>
    <t>NRF 52840 Feather</t>
  </si>
  <si>
    <t>NRF 52840</t>
  </si>
  <si>
    <t>ARM Cortex-M4</t>
  </si>
  <si>
    <t>ARMv7-M</t>
  </si>
  <si>
    <t>1MB</t>
  </si>
  <si>
    <t>Power + UART</t>
  </si>
  <si>
    <t>BLE</t>
  </si>
  <si>
    <t>1S</t>
  </si>
  <si>
    <t>Wing</t>
  </si>
  <si>
    <t>https://www.adafruit.com/product/4062</t>
  </si>
  <si>
    <t>ATSAMD21G18</t>
  </si>
  <si>
    <t>2.4GHz</t>
  </si>
  <si>
    <t>https://www.adafruit.com/product/3010</t>
  </si>
  <si>
    <t>Arduino Mega 2560 Rev3</t>
  </si>
  <si>
    <t>ATmega2560</t>
  </si>
  <si>
    <t>AVR</t>
  </si>
  <si>
    <t>8kB</t>
  </si>
  <si>
    <t>https://store-usa.arduino.cc/collections/boards/products/arduino-mega-2560-rev3</t>
  </si>
  <si>
    <t>ATmega32u4</t>
  </si>
  <si>
    <t>AVR5</t>
  </si>
  <si>
    <t>2.5kB</t>
  </si>
  <si>
    <t>https://store.arduino.cc/usa/arduino-micro</t>
  </si>
  <si>
    <t>Atmel</t>
  </si>
  <si>
    <t>ATtiny85</t>
  </si>
  <si>
    <t>AVR2.5</t>
  </si>
  <si>
    <t>512B</t>
  </si>
  <si>
    <t>https://www.microchip.com/wwwproducts/en/ATtiny85</t>
  </si>
  <si>
    <t>Beagleboard.org</t>
  </si>
  <si>
    <t>am3358</t>
  </si>
  <si>
    <t>Cortex-A8, 2x PRUSS</t>
  </si>
  <si>
    <t>ARMv7</t>
  </si>
  <si>
    <t>microSD</t>
  </si>
  <si>
    <t>512MB</t>
  </si>
  <si>
    <t>http://beagleboard.org/pocket</t>
  </si>
  <si>
    <t>Beaglebone Black</t>
  </si>
  <si>
    <t>4GBeMMC/microSD</t>
  </si>
  <si>
    <t>USB 2.0</t>
  </si>
  <si>
    <t>100BASE-TX</t>
  </si>
  <si>
    <t>http://beagleboard.org/black</t>
  </si>
  <si>
    <t>Ebyte NRF 52840</t>
  </si>
  <si>
    <t>Ebyte</t>
  </si>
  <si>
    <t>https://www.ebyte.com/en/new-view-info.aspx?id=378</t>
  </si>
  <si>
    <t>t-eth-lite</t>
  </si>
  <si>
    <t>Lilygo</t>
  </si>
  <si>
    <t>ESP32  S3</t>
  </si>
  <si>
    <t>Xtensa LX6</t>
  </si>
  <si>
    <t>Xtensa</t>
  </si>
  <si>
    <t>https://www.lilygo.cc/products/t-eth-lite</t>
  </si>
  <si>
    <t>https://github.com/Xinyuan-LilyGO/LilyGO-T-ETH-Series</t>
  </si>
  <si>
    <t>TTGo ESP32 PoE</t>
  </si>
  <si>
    <t>4.2</t>
  </si>
  <si>
    <t>http://www.lilygo.cn/prod_view.aspx?TypeId=50033&amp;Id=1307&amp;FId=t3:50033:3</t>
  </si>
  <si>
    <t>NodeMCU v2</t>
  </si>
  <si>
    <t>NodeMCU</t>
  </si>
  <si>
    <t>Diamond Standard 106Micro</t>
  </si>
  <si>
    <t>4.1</t>
  </si>
  <si>
    <t>https://components101.com/development-boards/nodemcu-esp8266-pinout-features-and-datasheet</t>
  </si>
  <si>
    <t>ESP-32S</t>
  </si>
  <si>
    <t>https://www.espressif.com/en/products/socs/esp32</t>
  </si>
  <si>
    <t>ESP32-PoE</t>
  </si>
  <si>
    <t>Olimex</t>
  </si>
  <si>
    <t>https://www.olimex.com/Products/IoT/ESP32/ESP32-POE/open-source-hardware</t>
  </si>
  <si>
    <t>MKL26Z64VFT4</t>
  </si>
  <si>
    <t>ARM Cortex-M0+</t>
  </si>
  <si>
    <t>62kB</t>
  </si>
  <si>
    <t>Shield</t>
  </si>
  <si>
    <t>https://www.pjrc.com/teensy/teensyLC.html</t>
  </si>
  <si>
    <t>31.5kB</t>
  </si>
  <si>
    <t>https://www.pjrc.com/store/teensy.html</t>
  </si>
  <si>
    <t>MK20DX256VLH7</t>
  </si>
  <si>
    <t>64kB</t>
  </si>
  <si>
    <t>https://www.pjrc.com/store/teensy32.html</t>
  </si>
  <si>
    <t>iMXRT1062</t>
  </si>
  <si>
    <t>ARM Cortex-M7</t>
  </si>
  <si>
    <t>2048kB</t>
  </si>
  <si>
    <t>1024kB</t>
  </si>
  <si>
    <t>https://www.pjrc.com/store/teensy40.html</t>
  </si>
  <si>
    <t>AT90USB1286</t>
  </si>
  <si>
    <t>127kB</t>
  </si>
  <si>
    <t>https://www.pjrc.com/store/teensypp.html</t>
  </si>
  <si>
    <t>MK64FX512VMD12</t>
  </si>
  <si>
    <t>512kB</t>
  </si>
  <si>
    <t>https://www.pjrc.com/store/teensy35.html</t>
  </si>
  <si>
    <t>MK66FX1M0VMD18</t>
  </si>
  <si>
    <t>https://www.pjrc.com/store/teensy36.html</t>
  </si>
  <si>
    <t>7936kB</t>
  </si>
  <si>
    <t>Raspberry Pi Foundation</t>
  </si>
  <si>
    <t>BCM2835</t>
  </si>
  <si>
    <t>ARM11</t>
  </si>
  <si>
    <t>ARMv6Z</t>
  </si>
  <si>
    <t>https://www.raspberrypi.org/products/raspberry-pi-zero/</t>
  </si>
  <si>
    <t>https://www.raspberrypi.org/products/raspberry-pi-zero-w/</t>
  </si>
  <si>
    <t>https://www.raspberrypi.org/products/raspberry-pi-1-model-a-plus/</t>
  </si>
  <si>
    <t>OTG x4</t>
  </si>
  <si>
    <t>https://www.raspberrypi.org/products/raspberry-pi-1-model-b-plus/</t>
  </si>
  <si>
    <t>BCM2837B0</t>
  </si>
  <si>
    <t>4× ARM Cortex-A53</t>
  </si>
  <si>
    <t>ARMv8</t>
  </si>
  <si>
    <t>2.4GHz &amp; 5GHz</t>
  </si>
  <si>
    <t>https://www.raspberrypi.org/products/raspberry-pi-3-model-a-plus/</t>
  </si>
  <si>
    <t>BCM2836</t>
  </si>
  <si>
    <t>4× ARM Cortex-A7</t>
  </si>
  <si>
    <t>ARMv7-A</t>
  </si>
  <si>
    <t>1GB</t>
  </si>
  <si>
    <t>https://www.raspberrypi.org/products/raspberry-pi-2-model-b/</t>
  </si>
  <si>
    <t>BCM2837</t>
  </si>
  <si>
    <t>ARMv8-A</t>
  </si>
  <si>
    <t>4.0</t>
  </si>
  <si>
    <t>https://www.raspberrypi.org/products/raspberry-pi-3-model-b/</t>
  </si>
  <si>
    <t>BCM2711</t>
  </si>
  <si>
    <t>4× ARM Cortex-A72</t>
  </si>
  <si>
    <t>1GB or 2GB or 4GB</t>
  </si>
  <si>
    <t>OTG x2, 3.0 x2</t>
  </si>
  <si>
    <t>Gigabit</t>
  </si>
  <si>
    <t>5.0</t>
  </si>
  <si>
    <t>https://www.raspberrypi.org/products/raspberry-pi-4-model-b/</t>
  </si>
  <si>
    <t>https://www.raspberrypi.org/products/raspberry-pi-3-model-b-plus/</t>
  </si>
  <si>
    <t>WT32-ETH01</t>
  </si>
  <si>
    <t>Shenzhen Qiming Cloud Co., Ltd</t>
  </si>
  <si>
    <t>32Mbit</t>
  </si>
  <si>
    <t>N</t>
  </si>
  <si>
    <t>http://www.wireless-tag.com/wp-content/uploads/2020/08/WT32-ETH01%E8%A7%84%E6%A0%BC%E4%B9%A6V1.2EN%EF%BC%88%E8%8B%B1%E6%96%87%EF%BC%89.pdf</t>
  </si>
  <si>
    <t>Shenzhen Xunlong Software</t>
  </si>
  <si>
    <t>Allwinner H2+</t>
  </si>
  <si>
    <t>256MB+</t>
  </si>
  <si>
    <t>OTG x1, 2.0 x1</t>
  </si>
  <si>
    <t>https://www.aliexpress.com/item/4000049660873.html</t>
  </si>
  <si>
    <t>Allwinner Quad Core H3</t>
  </si>
  <si>
    <t>OTG x1, 2.0 x3</t>
  </si>
  <si>
    <t>http://www.orangepi.org/</t>
  </si>
  <si>
    <t>ESP-01</t>
  </si>
  <si>
    <t>https://www.electroschematics.com/the-mighty-esp-01-adapter/</t>
  </si>
  <si>
    <t>ESP32-S3 ETH</t>
  </si>
  <si>
    <t>Waveshare</t>
  </si>
  <si>
    <t>ESP32 S3</t>
  </si>
  <si>
    <t xml:space="preserve">Xtensa </t>
  </si>
  <si>
    <t>https://www.waveshare.com/product/arduino/boards-kits/esp32/esp32-s3-eth.htm?sku=28771</t>
  </si>
  <si>
    <t>PoE sield available</t>
  </si>
  <si>
    <t>Picture</t>
  </si>
  <si>
    <t>Link</t>
  </si>
  <si>
    <t>Outline</t>
  </si>
  <si>
    <t>IP Rating</t>
  </si>
  <si>
    <t>Locking</t>
  </si>
  <si>
    <t>Panelmount</t>
  </si>
  <si>
    <t>Wire -To -Wire</t>
  </si>
  <si>
    <t>PCB mount</t>
  </si>
  <si>
    <t>Smallest Guage</t>
  </si>
  <si>
    <t>Largest Guage</t>
  </si>
  <si>
    <t>Pitch</t>
  </si>
  <si>
    <t>Contact Type</t>
  </si>
  <si>
    <t>Solder?</t>
  </si>
  <si>
    <t>Screw Terminal?</t>
  </si>
  <si>
    <t>Crimp?</t>
  </si>
  <si>
    <t>IDC?</t>
  </si>
  <si>
    <t>Board Fingers</t>
  </si>
  <si>
    <t>Gendered</t>
  </si>
  <si>
    <t xml:space="preserve">Min Pins </t>
  </si>
  <si>
    <t>Max Pins</t>
  </si>
  <si>
    <t>Rows</t>
  </si>
  <si>
    <t>Year Intoduced</t>
  </si>
  <si>
    <t>Pinout</t>
  </si>
  <si>
    <t>Convention</t>
  </si>
  <si>
    <t>Colors</t>
  </si>
  <si>
    <t>Digikey</t>
  </si>
  <si>
    <t>Mouser</t>
  </si>
  <si>
    <t>DuPont</t>
  </si>
  <si>
    <t>Harwin/ Generic</t>
  </si>
  <si>
    <t>https://www.mattmillman.com/info/crimpconnectors/dupont-and-dupont-connectors/</t>
  </si>
  <si>
    <t>Rectangular</t>
  </si>
  <si>
    <t>Friction</t>
  </si>
  <si>
    <t>PTH</t>
  </si>
  <si>
    <t>2.54mm</t>
  </si>
  <si>
    <t>Pins</t>
  </si>
  <si>
    <t>Black shell</t>
  </si>
  <si>
    <t>Arduino standard patch connector, Harwin clones, proper crimp tool 400USD+ , lesser crimp tools not up to job</t>
  </si>
  <si>
    <t>SH</t>
  </si>
  <si>
    <t>https://www.jst-mfg.com/product/detail_e.php?series=231</t>
  </si>
  <si>
    <t>Latching</t>
  </si>
  <si>
    <t xml:space="preserve">D.C. Barrel </t>
  </si>
  <si>
    <t>https://www2.mouser.com/Connectors/Power-Connectors/DC-Power-Connectors/_/N-axip3?keyword=2.1mm%20jack</t>
  </si>
  <si>
    <t>Circular</t>
  </si>
  <si>
    <t>IP20-IP65</t>
  </si>
  <si>
    <t>+pin -sleeve</t>
  </si>
  <si>
    <t>Female source</t>
  </si>
  <si>
    <t>D.C Barrel Connector. 5.5mm barrell with a 2.1mm centre pin is most common; 2.5 mm pin looks similar but dosent fit.</t>
  </si>
  <si>
    <t>PH</t>
  </si>
  <si>
    <t>http://www.jst-mfg.com/product/detail_e.php?series=199</t>
  </si>
  <si>
    <t>Detent</t>
  </si>
  <si>
    <t>G D V</t>
  </si>
  <si>
    <t>White</t>
  </si>
  <si>
    <t>R.C, Lipo Balance connector , Internal connector in some controllers 2.5mm noot 2.54 (1/10") pitch runs off on boards drilled for 2.54</t>
  </si>
  <si>
    <t>PicoBlade</t>
  </si>
  <si>
    <t>Molex</t>
  </si>
  <si>
    <t>https://www.molex.com/molex/products/family/picoblade</t>
  </si>
  <si>
    <t>1.25 mm</t>
  </si>
  <si>
    <t>Molex massive US connector maker</t>
  </si>
  <si>
    <t>XH</t>
  </si>
  <si>
    <t>https://www.digikey.com/en/product-highlight/j/jst/xh-series-connectors</t>
  </si>
  <si>
    <t>SM</t>
  </si>
  <si>
    <t>http://www.jst-mfg.com/product/detail_e.php?series=238</t>
  </si>
  <si>
    <t>2.54 mm</t>
  </si>
  <si>
    <t>G D [C] V</t>
  </si>
  <si>
    <t>Female source (shrouded male on LEDs)</t>
  </si>
  <si>
    <t>White, Black</t>
  </si>
  <si>
    <t>Most popular LED strip connector seen</t>
  </si>
  <si>
    <t>DF62W</t>
  </si>
  <si>
    <t>Hirose</t>
  </si>
  <si>
    <t>https://www.hirose.com/product/series/DF62W#</t>
  </si>
  <si>
    <t>IP67</t>
  </si>
  <si>
    <t>W is water resistant version. PCB and Wire to wire make it competitor to JST SM</t>
  </si>
  <si>
    <t>M12</t>
  </si>
  <si>
    <t>https://uk.rs-online.com/web/p/industrial-circular-connectors/2906584/</t>
  </si>
  <si>
    <t>Screw Lock</t>
  </si>
  <si>
    <t>N/A</t>
  </si>
  <si>
    <t>Black</t>
  </si>
  <si>
    <t xml:space="preserve">Originally sensor connectors for automation, low cost varieties available </t>
  </si>
  <si>
    <t>Molex KK AKA KF2510</t>
  </si>
  <si>
    <t>https://www.molex.com/molex/products/family/kk</t>
  </si>
  <si>
    <t>Male jack on board, female plug</t>
  </si>
  <si>
    <t>Molex KK Pitch 2.54 ( 1/10") Arduino pitch also 3.96 and 5.08 . Industrial standard connector common in amusement machines. Larger contact area than XH. Clones KF2510 2.54 CH 3.96  and CH5.08</t>
  </si>
  <si>
    <t>Rean RT4</t>
  </si>
  <si>
    <t>Rean / Neutrik</t>
  </si>
  <si>
    <t>https://www.rean-connectors.com/en/product/rt4fc-b-1</t>
  </si>
  <si>
    <t>IP40</t>
  </si>
  <si>
    <t>MIni XLR , 13mm Diameter, used on Shure and other microphones</t>
  </si>
  <si>
    <t>Pigtails</t>
  </si>
  <si>
    <t>https://www.wiredwatts.com/wire</t>
  </si>
  <si>
    <t>IP55</t>
  </si>
  <si>
    <t>Round moulded on connectors popuar with Holiday light community, several similar but incompatible styles</t>
  </si>
  <si>
    <t>Binder 720</t>
  </si>
  <si>
    <t>Binder</t>
  </si>
  <si>
    <t>https://uk.farnell.com/c/connectors/circular-connectors-components/circular-industrial-connectors?brand=binder&amp;product-range=720-series</t>
  </si>
  <si>
    <t>Colou Coded Collar</t>
  </si>
  <si>
    <t>SP13</t>
  </si>
  <si>
    <t>Weipu</t>
  </si>
  <si>
    <t>https://www.weipuconnector.com/sp13-series/</t>
  </si>
  <si>
    <t xml:space="preserve">Circular </t>
  </si>
  <si>
    <t>IP68</t>
  </si>
  <si>
    <t>Black Blue collar</t>
  </si>
  <si>
    <t>Glass filled nylon shell with gold plated brass solder  contacts.Weipu originator of format, cheaper clones around. SP 12/13/16/17/20/21/28 shelll sizes LD16/20/28 Screw Terminal clone</t>
  </si>
  <si>
    <t>9159</t>
  </si>
  <si>
    <t>AVX</t>
  </si>
  <si>
    <t>https://www.avx.com/products/connectors/board-to-board/standard-card-edge-00-9159/</t>
  </si>
  <si>
    <t>SMT</t>
  </si>
  <si>
    <t>Spring</t>
  </si>
  <si>
    <t>https://www.digikey.com/short/zvwmnz</t>
  </si>
  <si>
    <t>Bulgin ` Disco`  8 pole</t>
  </si>
  <si>
    <t>Bulgin</t>
  </si>
  <si>
    <t>https://uk.farnell.com/bulgin/px0551/plug-8way-6a-free/dp/151740</t>
  </si>
  <si>
    <t>https://www.mouser.co.uk/datasheet/2/57/bulgs00368_1-2263014.pdf</t>
  </si>
  <si>
    <t>Bulgin, long established UK connector maker, 8 pole onnector popular with mobile discos. Used to be panel mount Sockets and male to male leads, now follow outlets on Sockets only.</t>
  </si>
  <si>
    <t>GX-16</t>
  </si>
  <si>
    <t>https://www.renhotecpro.com/gx16-connector-data-sheet/</t>
  </si>
  <si>
    <t>IP30</t>
  </si>
  <si>
    <t>Silver Metal Black Plastic</t>
  </si>
  <si>
    <t>AKA Aviation Connector, CB Mic Connector, most common in 4 pin variant,Chrome metal Shell and IP65 Version in Black Plastic *Legacy Connector NOT For New Designs*</t>
  </si>
  <si>
    <t>XLR 5</t>
  </si>
  <si>
    <t>Neutrik /Generic</t>
  </si>
  <si>
    <t>https://www.neutrik.com/en/products/lightning/xlr</t>
  </si>
  <si>
    <t>Female output jack, male input jack</t>
  </si>
  <si>
    <t>Black, Silver, optional colored collars</t>
  </si>
  <si>
    <t>5 Pin is USITT Standard for DMX 512, Pins 4 + 5 Not Used In Standard. Beware of power or second universe on non standard pinouts . XLR 4  scroller cable 2 data+2 power, XLR 6 comms &amp; video gear.</t>
  </si>
  <si>
    <r>
      <rPr>
        <color rgb="FF1155CC"/>
        <u/>
      </rPr>
      <t>LD16</t>
    </r>
    <r>
      <rPr>
        <color rgb="FF000000"/>
      </rPr>
      <t xml:space="preserve">  /20/28</t>
    </r>
  </si>
  <si>
    <t>https://www.aliexpress.com/item/1005003521328338.html</t>
  </si>
  <si>
    <t>Black Blue</t>
  </si>
  <si>
    <t>Screw Terminal ,   No Soldering !,   version of SP16/17/20/21/28 LD13 is 2 termnal only, LD16 /20 /28 shell sizes</t>
  </si>
  <si>
    <t>Mini Bucaneer</t>
  </si>
  <si>
    <t>https://www.bulgin.com/us/products/range/circular-power-connectors/mini-series.html</t>
  </si>
  <si>
    <t>Bulgin, long established UK connector maker, available with crimp or screw terminals. locking collar can be fragile with rough handling</t>
  </si>
  <si>
    <t>SP17</t>
  </si>
  <si>
    <t>https://weipuconnector.com/product/38</t>
  </si>
  <si>
    <t>Black Blue Collar</t>
  </si>
  <si>
    <t>Also available is SP21 and SP29 , clones in SP16 and SP28</t>
  </si>
  <si>
    <t>Chogori (Standard size)</t>
  </si>
  <si>
    <t>Chogori</t>
  </si>
  <si>
    <t>http://suomi.chogori.pro/produkciya.html</t>
  </si>
  <si>
    <t>https://www.digikey.co.uk/en/products/filter/circular-connectors/circular-connector-assemblies/436?s=N4IgjCBcoBw1oDGUBmBDANgZwKYBoQB7KAbRACZyBOABhogF0CAHAFyhAGVWAnASwB2AcxABfAgFp40EMkjps%2BIqQpgArDRANxICQBYEs1JlwFikMmoDsVgMzktop0A</t>
  </si>
  <si>
    <t xml:space="preserve">Push Lock IP 68 used on Rosco Lite Panels and some other LED products, Mini Standard and Large sizes </t>
  </si>
  <si>
    <t>VH /R</t>
  </si>
  <si>
    <t>https://www.jst.com/wp-content/uploads/2021/08/eVH.pdf</t>
  </si>
  <si>
    <t>3.96mm</t>
  </si>
  <si>
    <t>Optikinetics wheel rotator connector , post 2000s</t>
  </si>
  <si>
    <t xml:space="preserve">MTSB CombiCon </t>
  </si>
  <si>
    <t>Phoenix Contact</t>
  </si>
  <si>
    <t>https://in.rsdelivers.com/product/phoenix-contact/1757035/phoenix-contact-classic-combicon-mstb-non-fused/1896032</t>
  </si>
  <si>
    <t>5.08 mm</t>
  </si>
  <si>
    <t>Green</t>
  </si>
  <si>
    <t>https://www.digikey.com/en/products/detail/phoenix-contact/1757035/260381?s=N4IgTCBcDaIIwHYCsCAMBmJIC6BfIA</t>
  </si>
  <si>
    <t>Also in 2.54 mm pitch , and literally thousands of variations</t>
  </si>
  <si>
    <t>Deutsch DT</t>
  </si>
  <si>
    <t>TE Deutsch</t>
  </si>
  <si>
    <t>https://www.te.com/usa-en/products/connectors/automotive-connectors/intersection/deutsch-dt-series-connectors.html?tab=pgp-story</t>
  </si>
  <si>
    <t>Rectangular/Triangular</t>
  </si>
  <si>
    <t>Automotive and Marine connector series , compatible/knock offs common, specific crimp tool required</t>
  </si>
  <si>
    <t>EN3</t>
  </si>
  <si>
    <t>Switchcraft/Conxall</t>
  </si>
  <si>
    <t>https://www.conxall.com/Documents/en3.pdf</t>
  </si>
  <si>
    <t>Twist Lock</t>
  </si>
  <si>
    <t>Switchcraft/Conxall , long established USA connector maker, available with straight and right angle PCB mounting</t>
  </si>
  <si>
    <t>Mini-Fit Jr</t>
  </si>
  <si>
    <t>https://www.molex.com/molex/products/family/minifit_power_connector_solutions</t>
  </si>
  <si>
    <t>Nylon Natural</t>
  </si>
  <si>
    <t xml:space="preserve">Available with 2 wire into single crimp. </t>
  </si>
  <si>
    <t>Superseal</t>
  </si>
  <si>
    <t>TE /AMP</t>
  </si>
  <si>
    <t>https://www.te.com/content/dam/te-com/documents/automotive/global/1654292-2_AMP%20SUPERSEAL%201.5.pdf</t>
  </si>
  <si>
    <t>AMP Superseal original product ,automotive and marine series, much copied . Requires specific crimp tool for contacts.</t>
  </si>
  <si>
    <t>XLR 3</t>
  </si>
  <si>
    <t>https://www.neutrik.com/en/neutrik/products/xlr-connectors/xlr-cable-connectors?c=audio</t>
  </si>
  <si>
    <t>Black, silver, optional colored collars</t>
  </si>
  <si>
    <t>AKA Cannon, original with side grub screw, Neutrik developed chuck cable grip. Metal bodied world standard audio and microphone connector, 5 pin  for DMX512</t>
  </si>
  <si>
    <t>PowerCon</t>
  </si>
  <si>
    <t>Neutrik</t>
  </si>
  <si>
    <t>https://www.neutrik.com/en/neutrik/products/powercon</t>
  </si>
  <si>
    <t>Blade</t>
  </si>
  <si>
    <t>Black, silver, white, blue, grey</t>
  </si>
  <si>
    <t>Powercon is orginal blue , True 1 was IP rated version frequent latch failure, True1 TOP is current reccomended mains power connector Seetronic common Compatible/Clone. Grey is recommended (cheap) and not readily used elsewhere</t>
  </si>
  <si>
    <t>CEE Form</t>
  </si>
  <si>
    <t>https://www.epanorama.net/blog/2021/08/19/ceeform-connectors/</t>
  </si>
  <si>
    <t>Yellow 110V Blue 240V Red 415V</t>
  </si>
  <si>
    <t>Also known in building trade as Commando Connectors. 16A Blue 3 Pin single phase popular European connector for stage power distribution. Red Three Phase connector up to 125A  . Other colours used for low voltage</t>
  </si>
  <si>
    <t>EventCon</t>
  </si>
  <si>
    <t>GLP</t>
  </si>
  <si>
    <t>https://ehrgeiz.glp.de/en/products/accessories/eventcon</t>
  </si>
  <si>
    <t>Combined power and DMX connector. push locking. No panel mount connetors currently (3/24)</t>
  </si>
  <si>
    <t>Hirschmann CA</t>
  </si>
  <si>
    <t>Lumberg /Belden</t>
  </si>
  <si>
    <t>https://uk.farnell.com/c/connectors/circular-connectors-components/circular-industrial-connectors?product-range=ca-series</t>
  </si>
  <si>
    <t>panel mount ones fit in a D-size/XLR cutout</t>
  </si>
  <si>
    <t>Wieland RST</t>
  </si>
  <si>
    <t>Wieland</t>
  </si>
  <si>
    <t>https://www.wieland-electric.com/en/products/electrical-installation/connection-systems-high-protection-class/rst-classic/</t>
  </si>
  <si>
    <t>IP69</t>
  </si>
  <si>
    <t>IP 69 Fully Waterproof with sealing rings, Available in Micro to Power size series</t>
  </si>
  <si>
    <t>TeePlug</t>
  </si>
  <si>
    <t>Hylec</t>
  </si>
  <si>
    <t>https://www.hylec-apl.com/Weatherproof-Waterproof-Connectors-Range/TeePlug-and-Sockets/THB_387_C4A.html</t>
  </si>
  <si>
    <t>Green or Grey Collar</t>
  </si>
  <si>
    <t>4.0mm2 conductor aceptance   Screw Terminal! , no soldering or crimping     Also appear under Techno brand</t>
  </si>
  <si>
    <t>Mate-N-Lok</t>
  </si>
  <si>
    <t>https://www.te.com/usa-en/products/brands/mate-n-lok.html?tab=pgp-story</t>
  </si>
  <si>
    <t>Range of Colours</t>
  </si>
  <si>
    <t>Popular automotive connector</t>
  </si>
  <si>
    <t>Socapex</t>
  </si>
  <si>
    <t>Amphenol / Generic</t>
  </si>
  <si>
    <t>https://p3connectors.com/what-are-socapex-connectors/</t>
  </si>
  <si>
    <t>19 Pin Socapex World standard 6 circuit mains multi core connector for production use, accepts up to 2.5mm per pin cable.</t>
  </si>
  <si>
    <t>Harting Han/ Lectriflex</t>
  </si>
  <si>
    <t>Harting</t>
  </si>
  <si>
    <r>
      <rPr>
        <color rgb="FF1155CC"/>
        <u/>
      </rPr>
      <t>https://www.harting.com/US/en/heavy-duty-electrical-connectors#Han%C2%AE-Range</t>
    </r>
    <r>
      <rPr/>
      <t>e</t>
    </r>
  </si>
  <si>
    <t>Harting Han rectangular AKA 16 pin Lectriflex as alternative to Socapex in stage lighting. Multi pin mains connector , modular able to have power , data and even hose lines on one connector.</t>
  </si>
  <si>
    <t>Speakon</t>
  </si>
  <si>
    <t>https://www.neutrik.com/en/neutrik/products/speakon-loudspeaker-connectors/speakon-cable-connectors</t>
  </si>
  <si>
    <t>Multi</t>
  </si>
  <si>
    <t>World Standard professional amplifier to speaker connector, compatibles offer low cost high current connector , if avoid mix up with audio....</t>
  </si>
  <si>
    <t>Wago 221</t>
  </si>
  <si>
    <t>Wago</t>
  </si>
  <si>
    <t>https://www.wago.com/global/electrical-interconnections/discover-installation-terminal-blocks-and-connectors/221</t>
  </si>
  <si>
    <t>Clear/Orange</t>
  </si>
  <si>
    <t>Successor to Wago 222 Tool free, lever clamping wire to wire connectors, wide range of wire diameter acceptance in stranded or solid Ideal for thin taps of thick bus lines</t>
  </si>
  <si>
    <t>PowerPole 15/45</t>
  </si>
  <si>
    <t>Anderson</t>
  </si>
  <si>
    <t>https://www.andersonpower.com/us/en/resources/PowerPoleResourcesPage.html</t>
  </si>
  <si>
    <t>IP65 Available</t>
  </si>
  <si>
    <t>When viewed from mating connector's perspective with tongues on the bottom, the red housing is on the left</t>
  </si>
  <si>
    <t>https://www.digikey.com/en/products/filter/blade-type-power-connectors-accessories/360?s=N4IgTCBcDaIIYDsAmBTATgZwPYIAQAcsB3dQgGxRAF0BfIA</t>
  </si>
  <si>
    <t>Anderson PowerPole, Genderless, Clip together shells in 11 colours, Radio HAM power standard,  panel mounting and waterproofing options.Extremely robust mixed signal and high current connector.</t>
  </si>
  <si>
    <t>IC5  EC5</t>
  </si>
  <si>
    <t>Spektrum</t>
  </si>
  <si>
    <t>https://blog.ampow.com/ic5-vs-ec5-connector/</t>
  </si>
  <si>
    <t>IC5 Orange EC5 Blue</t>
  </si>
  <si>
    <t>IC5 LiPo battery connector with Third pin for charger commnunication. EC5 mates with IC5 BUT no third pin</t>
  </si>
  <si>
    <t>MT30/60</t>
  </si>
  <si>
    <t>https://www.flyingtech.co.uk/cables-connectors/amass-nylon-mt60-3-pole-motor-esc-35mm-connector</t>
  </si>
  <si>
    <t>Triangular</t>
  </si>
  <si>
    <t>30/60</t>
  </si>
  <si>
    <t>Yellow or Black</t>
  </si>
  <si>
    <t>3 Pin XT 60</t>
  </si>
  <si>
    <t>XT60/90</t>
  </si>
  <si>
    <t>https://www.sparkfun.com/products/10474</t>
  </si>
  <si>
    <t>60/90</t>
  </si>
  <si>
    <t>Female source, shrouded male load</t>
  </si>
  <si>
    <t>Yello, black</t>
  </si>
  <si>
    <r>
      <rPr/>
      <t xml:space="preserve">Also XT30, 30A  &amp; XT90 ,90A , Standard connector for LiPo batteries in RC, generic connector, some poor quality versions around dimensions </t>
    </r>
    <r>
      <rPr>
        <color rgb="FF1155CC"/>
        <u/>
      </rPr>
      <t>http://cdn.sparkfun.com/datasheets/Prototyping/xt60.pdf</t>
    </r>
  </si>
  <si>
    <t>Color Rendition</t>
  </si>
  <si>
    <t>Light Transmission</t>
  </si>
  <si>
    <t>Flexible/Rigid</t>
  </si>
  <si>
    <t>Purpose Made ?</t>
  </si>
  <si>
    <t>Properties</t>
  </si>
  <si>
    <t>Fire Retardent?</t>
  </si>
  <si>
    <t>Tinted/Clear</t>
  </si>
  <si>
    <t>Sample thickness (inches)</t>
  </si>
  <si>
    <t>Diffusivity</t>
  </si>
  <si>
    <t>Sizes Available</t>
  </si>
  <si>
    <t>Material Type</t>
  </si>
  <si>
    <t>$$$$</t>
  </si>
  <si>
    <t>Usage Notes</t>
  </si>
  <si>
    <t>Neutral Cure Silicone</t>
  </si>
  <si>
    <t>https://www.idealsealants.com/acetoxy-vs-neutral-cure-silicone-i30#:~:text=An%20acetoxy%20silicone%20is%20a,non%2Dacidic%20substance%20whilst%20curing.</t>
  </si>
  <si>
    <t>F</t>
  </si>
  <si>
    <t>Diffusive</t>
  </si>
  <si>
    <t>T&amp;C</t>
  </si>
  <si>
    <t>RTV Silicone rubber</t>
  </si>
  <si>
    <t>$$</t>
  </si>
  <si>
    <t>Clear and white silicone sealant, clear good for things like candle flames,sculpt with plastic fork Neutal cure preferred near solder and copper</t>
  </si>
  <si>
    <t>White Acrylic  2447,7328,7508</t>
  </si>
  <si>
    <t>https://www.eplastics.com/SAMPLE-ACRYWHITE</t>
  </si>
  <si>
    <t>R</t>
  </si>
  <si>
    <t>T</t>
  </si>
  <si>
    <t>PMMA</t>
  </si>
  <si>
    <t>$$$</t>
  </si>
  <si>
    <t>white acrylic, various shades</t>
  </si>
  <si>
    <t>LCD TV diffuser</t>
  </si>
  <si>
    <t>https://nofilmschool.com/diy-light-panel-busted-lcd-tv</t>
  </si>
  <si>
    <t>Backlight</t>
  </si>
  <si>
    <t>PMMA PET</t>
  </si>
  <si>
    <t>$</t>
  </si>
  <si>
    <t>Flat screen backlight repurposed as large even light plate, artificial skylight</t>
  </si>
  <si>
    <t>Etched Vinyl</t>
  </si>
  <si>
    <t>https://www.mdpsupplies.co.uk/glass-lightbox-films/etched</t>
  </si>
  <si>
    <t>C</t>
  </si>
  <si>
    <t>600mm X 50m</t>
  </si>
  <si>
    <t>PVC</t>
  </si>
  <si>
    <t>Self Adhesive etch effect for glass and acrylic polycarbonate, sparkle effect is a good source hiding look, far more effective than sanding with sandpaper</t>
  </si>
  <si>
    <t>Rowlux</t>
  </si>
  <si>
    <t>https://www.orafol.com/en/americas/products/category/advanced-polymer-films-rowlux-illusion-film</t>
  </si>
  <si>
    <t>Backlight &amp; Edgelight</t>
  </si>
  <si>
    <t>PET,PVC,PC, TPU</t>
  </si>
  <si>
    <t>Lenticular embossed plastic sheet</t>
  </si>
  <si>
    <t>Lee Theatrical Filters</t>
  </si>
  <si>
    <t>https://www.leefilters.com/lighting/zircon.html#zircon-divider-diffusion</t>
  </si>
  <si>
    <t>Polyester</t>
  </si>
  <si>
    <t>Lee Filters, professional theatre and photo gel,  diffusion range and Zircon LED specific diffusion; Zircon 810 is a solid choice</t>
  </si>
  <si>
    <t>Rosco Diffusion</t>
  </si>
  <si>
    <t>https://emea.rosco.com/en/products/catalog/filters-diffusions</t>
  </si>
  <si>
    <t>Rosco theatrical diffussion</t>
  </si>
  <si>
    <t>Plastic ` glass` Shards</t>
  </si>
  <si>
    <t>https://tjlighting.co.uk/product/fake-clear-plastic-iceglass-shards/</t>
  </si>
  <si>
    <t>Acrylic PMMA</t>
  </si>
  <si>
    <t>Packing in larger clear or diffuse pipe or vase</t>
  </si>
  <si>
    <t>Harmonia PC (1050-24)-(3050-24)</t>
  </si>
  <si>
    <t>https://www.plastix-world.com/better-with-a-diffusing-polymers/</t>
  </si>
  <si>
    <t xml:space="preserve">Diffusive </t>
  </si>
  <si>
    <t xml:space="preserve">PMMA, PC, </t>
  </si>
  <si>
    <t>$$$$$</t>
  </si>
  <si>
    <t>reflective (unknown) dopant several polymer options</t>
  </si>
  <si>
    <t>Makrolon DQ (5122)-(5162)</t>
  </si>
  <si>
    <t>https://solutions.covestro.com/en/highlights/articles/cases/2019/trevos</t>
  </si>
  <si>
    <t>PC</t>
  </si>
  <si>
    <t>doped polycarbonate (index mismatch)</t>
  </si>
  <si>
    <t>Perspex G-Lux Edge Lit Acrylic</t>
  </si>
  <si>
    <t>https://www.perspex.co.uk/materials/perspex-cast-acrylic/s-lux-and-g-lux/</t>
  </si>
  <si>
    <t>Edge Lit front diffuser</t>
  </si>
  <si>
    <t>doped PMMA</t>
  </si>
  <si>
    <t>Appears clear , lit from edge diffuses light front</t>
  </si>
  <si>
    <t>Rosco Opti Sculpt</t>
  </si>
  <si>
    <t>https://us.rosco.com/en/product/opti-sculpt</t>
  </si>
  <si>
    <t>Transmissive</t>
  </si>
  <si>
    <t>24”x40”</t>
  </si>
  <si>
    <t>PC Polycarbonate</t>
  </si>
  <si>
    <t>embossed DOE, 10°, 20°, 30°, 10°x20°, 10°x30°, 10°x40°, 10°x60°, 15°x35°, 15°x45°, 20°x40° and the unique 40°/60° Reversible</t>
  </si>
  <si>
    <t>Light Shaping Diffusers</t>
  </si>
  <si>
    <t>https://www.luminitco.com/</t>
  </si>
  <si>
    <t>PET</t>
  </si>
  <si>
    <t>Very efficient holographic repro gratings, only work with small point sources</t>
  </si>
  <si>
    <t>Diffraction grating</t>
  </si>
  <si>
    <t>https://www.edmundoptics.com/p/25400-linesinch-6quot-x-12quot-sheets-2pack/4621?gclid=CjwKCAjwgdX4BRB_EiwAg8O8HWjw1QGEzk6K58RKoEc3b26oilbvFs6GMut1InyfgzmqdJbvjyPs9BoC58gQAvD_BwE</t>
  </si>
  <si>
    <t xml:space="preserve">Transparent </t>
  </si>
  <si>
    <t>PC ?</t>
  </si>
  <si>
    <t>Cool, but probably not a good option</t>
  </si>
  <si>
    <t>Lexan DCLW</t>
  </si>
  <si>
    <t>https://sfs.sabic.eu/product/lexan-solid-sheet/sign-sheet/</t>
  </si>
  <si>
    <t>Lexan DLCW (Diffused Light Cool White)special combination of high light diffusion and high transmission via an optimized surface texture</t>
  </si>
  <si>
    <t>3M Envision Diffuser</t>
  </si>
  <si>
    <t>https://www.3m.co.uk/3M/en_GB/p/d/b00024897/</t>
  </si>
  <si>
    <t>1219mm wide</t>
  </si>
  <si>
    <t>polyester</t>
  </si>
  <si>
    <t>Backlight white self adhesive film for glass and plastics</t>
  </si>
  <si>
    <t>Bubble Wrap</t>
  </si>
  <si>
    <t>Bubble wrap - Wikipedia</t>
  </si>
  <si>
    <t>Air Filled PE</t>
  </si>
  <si>
    <t>Used as stuffing in wider pipes to space LED strip</t>
  </si>
  <si>
    <t>Corrugated Split Loom Conduit/Tubing/Sleeving</t>
  </si>
  <si>
    <t>https://www.cabletiesandmore.ca/images/gallery/white-wire-loom-perfoot.jpg</t>
  </si>
  <si>
    <t>PP/ PE</t>
  </si>
  <si>
    <t xml:space="preserve">Split corrugated loom tubing covers and organizes wire and cable and has flexible walls with a lengthwise slit. </t>
  </si>
  <si>
    <t>PP Push Fit Waste Pipe Thick Wall</t>
  </si>
  <si>
    <t>https://www.screwfix.com/p/floplast-push-fit-pipe-white-40mm-x-3m/65426</t>
  </si>
  <si>
    <t>40 /32 mm O.D</t>
  </si>
  <si>
    <t>Polypropylene</t>
  </si>
  <si>
    <t>Polypropylene Push Fit Waste Pipe, UK source Screwfix,plain white no markings on it,  *Not ABS , Barrier PEX or PVC *. Bendable after filling with hot sand.</t>
  </si>
  <si>
    <t>Suction Hose</t>
  </si>
  <si>
    <t>http://hose-products.com/suction-hose.html</t>
  </si>
  <si>
    <t>PVC Wire reinforcement</t>
  </si>
  <si>
    <t>Multiple diameters, clear and colours, heavier duty and more expensive than dryer hose</t>
  </si>
  <si>
    <t>Foam Backer Rod</t>
  </si>
  <si>
    <t>https://www.dortechdirect.co.uk/polyethylene-foam-backer-rod-25mm.html</t>
  </si>
  <si>
    <t>Closed cell PE foam</t>
  </si>
  <si>
    <t>Pool noodle material , slit and re seal with tape or adhesive</t>
  </si>
  <si>
    <t>Polyester Film</t>
  </si>
  <si>
    <t>https://www.lexjet.com/hp-backlit-polyester-film-60in-x-100ft?CAWELAID=320012560000042473&amp;CAGPSPN=pla&amp;CAAGID=61396511513&amp;CATCI=pla-862634440483&amp;CATARGETID=320012560000750478&amp;CADevice=c&amp;gclid=Cj0KCQjwpNr4BRDYARIsAADIx9xwg2gMLqN09JDo8E9ehIjSRdLMUWf4aRfGx4EIg2X-TDfUrlzeVXsaAjF2EALw_wcB</t>
  </si>
  <si>
    <t xml:space="preserve">Diffusive  </t>
  </si>
  <si>
    <t>Good backlit diffusion option</t>
  </si>
  <si>
    <t>Plexiglas LED Edge Lit was EndlightenT</t>
  </si>
  <si>
    <t>https://www.plexiglas-shop.com/en-de/products/plexiglas-led/</t>
  </si>
  <si>
    <t>2 - 5</t>
  </si>
  <si>
    <t>upto1220x 2440</t>
  </si>
  <si>
    <t>BrightView</t>
  </si>
  <si>
    <t>https://www.brightviewtechnologies.com/products/led-diffusers/led-diffuser-products/page.aspx?id=1102</t>
  </si>
  <si>
    <t>PMMA, PET</t>
  </si>
  <si>
    <t>High End ,High-efficiency microlenses in optically clear materials</t>
  </si>
  <si>
    <t>Textured Acrylic, various</t>
  </si>
  <si>
    <t>https://www.eplastics.com/SAMPLE-ACRYPATTERN</t>
  </si>
  <si>
    <t>.125-.220</t>
  </si>
  <si>
    <t>PMMA Poly Methyl Meth Acrylate</t>
  </si>
  <si>
    <t>I think "frost" was best</t>
  </si>
  <si>
    <t>Baking Parchment</t>
  </si>
  <si>
    <t>https://www.metsatissue.com/en/brands-products/baking-cooking-papers/paper-differencies/Pages/default.aspx</t>
  </si>
  <si>
    <t>600mm wide</t>
  </si>
  <si>
    <t>Paper with silicone or wax</t>
  </si>
  <si>
    <t xml:space="preserve">Baking parchment also greaseproof paper, also used as low cost rear projection material </t>
  </si>
  <si>
    <t>Shower Curtain</t>
  </si>
  <si>
    <t>https://www.amazon.co.uk/Discoball-Waterproof-Antifungal-Curtains-Bathroom/dp/B00Y1XV3VM</t>
  </si>
  <si>
    <t>PVC, EVA</t>
  </si>
  <si>
    <t xml:space="preserve">Non woven type shower curtain </t>
  </si>
  <si>
    <t>LD45 Plaztazote</t>
  </si>
  <si>
    <t>https://www.theplasticshop.co.uk/LD45-45kg-foam-sheet.html</t>
  </si>
  <si>
    <t>2000mm wide</t>
  </si>
  <si>
    <t>Closed Cell LDPE foam</t>
  </si>
  <si>
    <t>Sheet and in pool noodle form, flexible suitable diffuser for wearables</t>
  </si>
  <si>
    <t>Lumieo 2</t>
  </si>
  <si>
    <t>https://alpadvantage.com/products/lumieo-ii/</t>
  </si>
  <si>
    <t>2mm</t>
  </si>
  <si>
    <t>premium white acrylic sheet which provides both high transmission and excellent lamp hiding capabilities</t>
  </si>
  <si>
    <t xml:space="preserve">Poly Pro Pipe Thin Wall </t>
  </si>
  <si>
    <t>https://www.omega.co.uk/pptst/TYPP.html</t>
  </si>
  <si>
    <t>PP Poly Propylene</t>
  </si>
  <si>
    <t>Semi Transparent in natural , also in tints, available from Hula Hoop suppliers</t>
  </si>
  <si>
    <t xml:space="preserve">Polyethelene </t>
  </si>
  <si>
    <t>https://www.mcmaster.com/polyethylene-sheets/moisture-resistant-polyethylene-hdpe-sheets-bars-and-strips/thickness~0-04inches/</t>
  </si>
  <si>
    <t>HDPE</t>
  </si>
  <si>
    <t>Regular high density polyethelene sheet</t>
  </si>
  <si>
    <t>Oyumaru</t>
  </si>
  <si>
    <t>https://www.amazon.com/Hinodewashi-Oyumaru-Monochromatic-OO-250C-Clear/dp/B00MG5PYPI</t>
  </si>
  <si>
    <t>Ethelyne Copolymer</t>
  </si>
  <si>
    <t>Hot water mouldlble rubber,flexible.  when set  and possible to mould round single LEDs into shapes , useable as a mould for ploymorph as well</t>
  </si>
  <si>
    <t>Expanding Cable Braid</t>
  </si>
  <si>
    <t>https://www.newegg.com/p/38Y-00AA-00037</t>
  </si>
  <si>
    <t>White , Black and colours, patterns, Diffuser for tape and strings</t>
  </si>
  <si>
    <t xml:space="preserve">Pool Noodle </t>
  </si>
  <si>
    <t>https://www.amazon.com/Oodles-Noodles-Deluxe-Foam-Pool/dp/B01LZ8FAHO?th=1</t>
  </si>
  <si>
    <t>PE Closed cell foam</t>
  </si>
  <si>
    <t>See slo Plastazote and Foam Backer Rod</t>
  </si>
  <si>
    <t>Vinyl Dryer Hose</t>
  </si>
  <si>
    <t>https://www.walmart.com/ip/4-x-5-Vinyl-Dryer-Vent-Hose-PartNo-D04051-JonesStephens/994124574</t>
  </si>
  <si>
    <t>Typically 4" diameter, use bubble wrap or spacers to keep LED string centred</t>
  </si>
  <si>
    <t>Silicone Sealant</t>
  </si>
  <si>
    <t>https://www.zotefoams.com/product/azote/plastazote/</t>
  </si>
  <si>
    <t>variable</t>
  </si>
  <si>
    <t>4-8mm, 40x80"</t>
  </si>
  <si>
    <t>XLPE</t>
  </si>
  <si>
    <t>Great for costumes - search Etsy</t>
  </si>
  <si>
    <t>Hot Melt Glue</t>
  </si>
  <si>
    <t>https://www.gluegunsdirect.com/service-and-advice/hot-melt-adhesive/</t>
  </si>
  <si>
    <t>EVA</t>
  </si>
  <si>
    <t>Shorter working time than silicone similar applications</t>
  </si>
  <si>
    <t>Instamorph/ Polymorph</t>
  </si>
  <si>
    <t>https://www.instamorph.com/</t>
  </si>
  <si>
    <t>PCL Poly Capro Lactone</t>
  </si>
  <si>
    <t>Hot water mouldable plastic, very rigid when set  and possible to mould round single LEDs into shapes</t>
  </si>
  <si>
    <t>Printer Paper</t>
  </si>
  <si>
    <t>Wood Pulp</t>
  </si>
  <si>
    <t>Pretty good diffusion for thickness, organic texture</t>
  </si>
  <si>
    <t>PEX Pipe</t>
  </si>
  <si>
    <t>https://www.homedepot.com/b/Plumbing-Pipe-Fittings-Pipe-PEX-Pipe/N-5yc1vZ1z18i33</t>
  </si>
  <si>
    <t>Christmas light leaping arches, linear 360 diffusion</t>
  </si>
  <si>
    <t>Polyester Pillow Fill</t>
  </si>
  <si>
    <t>https://www.amazon.com/Fairfield-Poly-Premium-Fiber-32-Ounce/dp/B004ALQ0M2</t>
  </si>
  <si>
    <t>Polyester fibre</t>
  </si>
  <si>
    <t>Clouds and rocket plumes</t>
  </si>
  <si>
    <t>Polymer Clay</t>
  </si>
  <si>
    <t>https://www.jessamatutorials.com/translucent-polymer-clay.html</t>
  </si>
  <si>
    <t>Oven hardening ,Fimo, Sculpey , Primo available in transparent and translucent , dyeable with alchohol inks</t>
  </si>
  <si>
    <t>Perspex Diffuse</t>
  </si>
  <si>
    <t>https://perspex.com/news/pom-diffuse/</t>
  </si>
  <si>
    <t>Faux Fur</t>
  </si>
  <si>
    <t>https://en.wikipedia.org/wiki/Fake_fur</t>
  </si>
  <si>
    <t>1200mm wide</t>
  </si>
  <si>
    <t>Polyester,Acrylic</t>
  </si>
  <si>
    <t>White long pile faux fur</t>
  </si>
  <si>
    <t>Fabric</t>
  </si>
  <si>
    <t>Not tested yet</t>
  </si>
  <si>
    <t>System</t>
  </si>
  <si>
    <t xml:space="preserve">Pixels Per Run </t>
  </si>
  <si>
    <t>Dimming Resolution</t>
  </si>
  <si>
    <t>Dedicated PSU/control</t>
  </si>
  <si>
    <t>RGB/W</t>
  </si>
  <si>
    <t>Online Pricing</t>
  </si>
  <si>
    <t>Price Range</t>
  </si>
  <si>
    <t>Core Tech</t>
  </si>
  <si>
    <t>Since</t>
  </si>
  <si>
    <t>Target Market</t>
  </si>
  <si>
    <t>DFS3000</t>
  </si>
  <si>
    <t>Glasson Electronics</t>
  </si>
  <si>
    <t xml:space="preserve">13 Bit </t>
  </si>
  <si>
    <t xml:space="preserve">RGB/RGBW/WW </t>
  </si>
  <si>
    <t>$$$$$$</t>
  </si>
  <si>
    <t>Glasson, developer World first adressable incandescent festoon, range of LED and festoon products, professional products, professional pricing</t>
  </si>
  <si>
    <t>Astera Nyx</t>
  </si>
  <si>
    <t>Astera</t>
  </si>
  <si>
    <t>CRMX DMX</t>
  </si>
  <si>
    <t>Entertainment</t>
  </si>
  <si>
    <t>Wireless DMX /Bluetooth controlled AC Line / Dc Battery Pack Powered, aimed at high end entertainment and film</t>
  </si>
  <si>
    <t>Flex</t>
  </si>
  <si>
    <t>Color Kinetics</t>
  </si>
  <si>
    <t>RGB W/WW</t>
  </si>
  <si>
    <t xml:space="preserve">Icolor Flex and relatives. Philips Color Kinetics closed eco system of RGB lighting, </t>
  </si>
  <si>
    <t>Intelligent Marquee System</t>
  </si>
  <si>
    <t>TMB</t>
  </si>
  <si>
    <t>Festoon</t>
  </si>
  <si>
    <t>2 Wire addressable Festoon, Professional level pricing structure</t>
  </si>
  <si>
    <t>Strip and Tiles</t>
  </si>
  <si>
    <t>Schnick Schnack</t>
  </si>
  <si>
    <t>Strip and Tiles with very high resolution dimming and video input compatible, very long established pioneers.</t>
  </si>
  <si>
    <t>VC-Dot 1</t>
  </si>
  <si>
    <t>Martin</t>
  </si>
  <si>
    <t>Martin, stage lighting part of Harmon Kardon group</t>
  </si>
  <si>
    <t>Active RGB</t>
  </si>
  <si>
    <t>Lumisphere</t>
  </si>
  <si>
    <t>Time proven Clear bubble festoon lamp</t>
  </si>
  <si>
    <t>LB-100</t>
  </si>
  <si>
    <t>SGM</t>
  </si>
  <si>
    <t>7 Ball String  €125</t>
  </si>
  <si>
    <t xml:space="preserve">SGM established Danish stage lighting manufacturer, 2W balls </t>
  </si>
  <si>
    <t>Lightwalls</t>
  </si>
  <si>
    <t>Learning kit £550+VAT</t>
  </si>
  <si>
    <t>Architectural</t>
  </si>
  <si>
    <r>
      <rPr/>
      <t xml:space="preserve">Strip and panels assosciated with </t>
    </r>
    <r>
      <rPr>
        <color rgb="FF1155CC"/>
        <u/>
      </rPr>
      <t>Protopixel.io</t>
    </r>
    <r>
      <rPr/>
      <t>, subscription based control systems, "dynamic lighting"</t>
    </r>
  </si>
  <si>
    <t>Vinci</t>
  </si>
  <si>
    <t>https://www.lucenti.lighting/products</t>
  </si>
  <si>
    <t>RGB €120 per lamp</t>
  </si>
  <si>
    <t>RGB and flexi LED filament in one lamp</t>
  </si>
  <si>
    <t>Ledsnaps</t>
  </si>
  <si>
    <t>Gym/Fitness</t>
  </si>
  <si>
    <t>LED strip Units aimed at gym studiomarket , closed architecture, presumed WS28XX</t>
  </si>
  <si>
    <t>Triklit</t>
  </si>
  <si>
    <t>Minelon - Rainmin</t>
  </si>
  <si>
    <t>8 Bit</t>
  </si>
  <si>
    <t>Wiedamark</t>
  </si>
  <si>
    <t>WS281x</t>
  </si>
  <si>
    <t>WS2811/12 based commercial quality LED products</t>
  </si>
  <si>
    <t>SmartPXL</t>
  </si>
  <si>
    <t>16bit or 8 bit</t>
  </si>
  <si>
    <t>RGB/RGBW/CTA</t>
  </si>
  <si>
    <t>High dimming resolution pixel dots made in Australia</t>
  </si>
  <si>
    <t>Festoon 2 RGB</t>
  </si>
  <si>
    <t>Chauvet</t>
  </si>
  <si>
    <t>RGB   W/WW</t>
  </si>
  <si>
    <t>Seperate controller, 20 globes per string max 3 strings per control IP 54</t>
  </si>
  <si>
    <t>FestoonLight Q4</t>
  </si>
  <si>
    <t>Showtec</t>
  </si>
  <si>
    <t>Seperate 20 globe strings, controller and booster components</t>
  </si>
  <si>
    <t>250 string $105</t>
  </si>
  <si>
    <t>Consumer Level App Controlled , now with "Pro" range. artnet2twinkly 3rd party project linked on Drive Libraries page</t>
  </si>
  <si>
    <t>RGB-Pixel-Panel</t>
  </si>
  <si>
    <t>£20</t>
  </si>
  <si>
    <t>WS2812b</t>
  </si>
  <si>
    <t>169 Pixel Interlockable panel, arranged as 13x13 snakelined pixels on 1.6mm PCB, 10mm pitch</t>
  </si>
  <si>
    <t>RGBW-Pixel-Panel</t>
  </si>
  <si>
    <t>£30</t>
  </si>
  <si>
    <t>SKC6812RGBW-NW</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</si>
</sst>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0;&quot;FOSS&quot;;&quot;Free&quot;;@"/>
    <numFmt numFmtId="165" formatCode="&quot;$&quot;#,##0"/>
    <numFmt numFmtId="166" formatCode="0V"/>
    <numFmt numFmtId="167" formatCode="0A"/>
    <numFmt numFmtId="168" formatCode="0&quot; Years&quot;"/>
    <numFmt numFmtId="169" formatCode="&quot;$&quot;#,##0.00"/>
    <numFmt numFmtId="170" formatCode="0.0A"/>
    <numFmt numFmtId="171" formatCode="[&gt;=1000000]0,,&quot;MHz&quot;;[&gt;=1000]0,&quot;kHz&quot;;0,&quot;Hz&quot;"/>
    <numFmt numFmtId="172" formatCode="[&gt;=900000]0.00,,&quot; M Pixel / s&quot;;[&gt;=1000]0.0,&quot; k Pixel / s&quot;;0&quot; Pixel / s&quot;"/>
    <numFmt numFmtId="173" formatCode="#.###&quot;mW&quot;"/>
    <numFmt numFmtId="174" formatCode="0.0&quot;mA&quot;"/>
    <numFmt numFmtId="175" formatCode="[&gt;=1000]0.0,&quot;kHz&quot;;0&quot;Hz&quot;"/>
    <numFmt numFmtId="176" formatCode="0&quot; Bits/Pixel&quot;"/>
    <numFmt numFmtId="177" formatCode="0.0&quot;V&quot;"/>
    <numFmt numFmtId="178" formatCode="0&quot;mA&quot;"/>
    <numFmt numFmtId="179" formatCode="[&gt;=1000]0.0,&quot; Pixel•kHz&quot;;0&quot; Pixel•Hz&quot;"/>
    <numFmt numFmtId="180" formatCode="[&gt;=1000]0.0,&quot;GHz&quot;;0&quot;MHz&quot;"/>
    <numFmt numFmtId="181" formatCode="0&quot; A&quot;"/>
    <numFmt numFmtId="182" formatCode="0&quot; V&quot;"/>
    <numFmt numFmtId="183" formatCode="0&quot; AWG&quot;"/>
    <numFmt numFmtId="184" formatCode="0.0&quot; mm&quot;"/>
    <numFmt numFmtId="185" formatCode="0.000"/>
    <numFmt numFmtId="186" formatCode="m-d"/>
    <numFmt numFmtId="187" formatCode="m/d"/>
  </numFmts>
  <fonts count="57">
    <font>
      <sz val="10.0"/>
      <color rgb="FF000000"/>
      <name val="Arial"/>
      <scheme val="minor"/>
    </font>
    <font>
      <color theme="1"/>
      <name val="Arial"/>
      <scheme val="minor"/>
    </font>
    <font>
      <b/>
      <color theme="1"/>
      <name val="Arial"/>
      <scheme val="minor"/>
    </font>
    <font>
      <u/>
      <color rgb="FF0000FF"/>
    </font>
    <font>
      <u/>
      <color rgb="FF000000"/>
      <name val="Roboto"/>
    </font>
    <font>
      <i/>
      <color theme="1"/>
      <name val="Arial"/>
      <scheme val="minor"/>
    </font>
    <font>
      <u/>
      <color rgb="FF0000FF"/>
    </font>
    <font>
      <u/>
      <color rgb="FF0000FF"/>
    </font>
    <font>
      <u/>
      <color rgb="FF0000FF"/>
    </font>
    <font>
      <sz val="11.0"/>
      <color theme="1"/>
      <name val="Arial"/>
      <scheme val="minor"/>
    </font>
    <font>
      <u/>
      <color rgb="FF1155CC"/>
      <name val="Arial"/>
      <scheme val="minor"/>
    </font>
    <font>
      <color rgb="FF000000"/>
      <name val="Arial"/>
      <scheme val="minor"/>
    </font>
    <font>
      <u/>
      <color rgb="FF1155CC"/>
    </font>
    <font>
      <u/>
      <color rgb="FF0000FF"/>
      <name val="Arial"/>
    </font>
    <font>
      <color theme="1"/>
      <name val="Arial"/>
    </font>
    <font>
      <u/>
      <color rgb="FF0000FF"/>
    </font>
    <font>
      <u/>
      <color rgb="FF0000FF"/>
    </font>
    <font>
      <u/>
      <color rgb="FF0000FF"/>
      <name val="Arial"/>
    </font>
    <font>
      <b/>
      <u/>
      <color rgb="FF0000FF"/>
    </font>
    <font>
      <u/>
      <color rgb="FF0000FF"/>
    </font>
    <font>
      <u/>
      <color rgb="FF0000FF"/>
    </font>
    <font>
      <u/>
      <color rgb="FF0000FF"/>
    </font>
    <font>
      <u/>
      <color rgb="FF0000FF"/>
    </font>
    <font>
      <color rgb="FF000000"/>
      <name val="Arial"/>
    </font>
    <font>
      <u/>
      <color rgb="FF0000FF"/>
    </font>
    <font>
      <u/>
      <color rgb="FF56A3F1"/>
    </font>
    <font>
      <u/>
      <sz val="11.0"/>
      <color rgb="FF0000FF"/>
    </font>
    <font>
      <u/>
      <sz val="11.0"/>
      <color rgb="FF0000FF"/>
    </font>
    <font>
      <u/>
      <color rgb="FF1155CC"/>
    </font>
    <font>
      <u/>
      <color rgb="FF0000FF"/>
    </font>
    <font>
      <u/>
      <color rgb="FFFFFFFF"/>
    </font>
    <font>
      <u/>
      <color rgb="FF0000FF"/>
    </font>
    <font>
      <b/>
      <color rgb="FFFFFFFF"/>
      <name val="Arial"/>
      <scheme val="minor"/>
    </font>
    <font>
      <u/>
      <color rgb="FF0000FF"/>
    </font>
    <font>
      <u/>
      <color rgb="FF1155CC"/>
      <name val="Arial"/>
      <scheme val="minor"/>
    </font>
    <font>
      <u/>
      <color rgb="FF0000FF"/>
    </font>
    <font>
      <u/>
      <color rgb="FF1155CC"/>
      <name val="Arial"/>
      <scheme val="minor"/>
    </font>
    <font>
      <u/>
      <color rgb="FF1155CC"/>
    </font>
    <font>
      <u/>
      <color rgb="FF1155CC"/>
      <name val="Arial"/>
      <scheme val="minor"/>
    </font>
    <font>
      <u/>
      <color rgb="FF0000FF"/>
    </font>
    <font>
      <u/>
      <color rgb="FF1155CC"/>
      <name val="Arial"/>
      <scheme val="minor"/>
    </font>
    <font>
      <u/>
      <color rgb="FF0000FF"/>
    </font>
    <font>
      <u/>
      <color rgb="FF1155CC"/>
      <name val="Arial"/>
      <scheme val="minor"/>
    </font>
    <font>
      <u/>
      <color rgb="FF1155CC"/>
      <name val="Arial"/>
      <scheme val="minor"/>
    </font>
    <font>
      <u/>
      <color rgb="FF0000FF"/>
    </font>
    <font>
      <u/>
      <color rgb="FF0000FF"/>
    </font>
    <font>
      <u/>
      <color rgb="FF1155CC"/>
    </font>
    <font>
      <u/>
      <color rgb="FF1155CC"/>
    </font>
    <font>
      <u/>
      <sz val="10.0"/>
      <color rgb="FF1155CC"/>
      <name val="Arial"/>
    </font>
    <font>
      <u/>
      <color rgb="FF0000FF"/>
    </font>
    <font>
      <u/>
      <sz val="10.0"/>
      <color rgb="FF1155CC"/>
      <name val="Arial"/>
    </font>
    <font>
      <u/>
      <sz val="10.0"/>
      <color rgb="FF1155CC"/>
      <name val="Arial"/>
    </font>
    <font>
      <sz val="10.0"/>
      <color rgb="FF24292F"/>
      <name val="Arial"/>
    </font>
    <font>
      <sz val="10.0"/>
      <color rgb="FF212121"/>
      <name val="Roboto"/>
    </font>
    <font>
      <u/>
      <color rgb="FF1155CC"/>
    </font>
    <font>
      <b/>
      <u/>
      <color rgb="FF1155CC"/>
    </font>
    <font>
      <i/>
      <u/>
      <color rgb="FF0000FF"/>
    </font>
  </fonts>
  <fills count="15">
    <fill>
      <patternFill patternType="none"/>
    </fill>
    <fill>
      <patternFill patternType="lightGray"/>
    </fill>
    <fill>
      <patternFill patternType="solid">
        <fgColor rgb="FFD9D2E9"/>
        <bgColor rgb="FFD9D2E9"/>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FFE599"/>
        <bgColor rgb="FFFFE599"/>
      </patternFill>
    </fill>
    <fill>
      <patternFill patternType="solid">
        <fgColor rgb="FFFEF8E3"/>
        <bgColor rgb="FFFEF8E3"/>
      </patternFill>
    </fill>
    <fill>
      <patternFill patternType="solid">
        <fgColor rgb="FF00FF00"/>
        <bgColor rgb="FF00FF00"/>
      </patternFill>
    </fill>
    <fill>
      <patternFill patternType="solid">
        <fgColor rgb="FF00FFFF"/>
        <bgColor rgb="FF00FFFF"/>
      </patternFill>
    </fill>
    <fill>
      <patternFill patternType="solid">
        <fgColor rgb="FF0000FF"/>
        <bgColor rgb="FF0000FF"/>
      </patternFill>
    </fill>
    <fill>
      <patternFill patternType="solid">
        <fgColor theme="0"/>
        <bgColor theme="0"/>
      </patternFill>
    </fill>
    <fill>
      <patternFill patternType="solid">
        <fgColor rgb="FFE8F0FE"/>
        <bgColor rgb="FFE8F0FE"/>
      </patternFill>
    </fill>
    <fill>
      <patternFill patternType="solid">
        <fgColor theme="4"/>
        <bgColor theme="4"/>
      </patternFill>
    </fill>
    <fill>
      <patternFill patternType="solid">
        <fgColor rgb="FF4A86E8"/>
        <bgColor rgb="FF4A86E8"/>
      </patternFill>
    </fill>
  </fills>
  <borders count="1">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4" fontId="4" numFmtId="0" xfId="0" applyAlignment="1" applyFill="1" applyFont="1">
      <alignment readingOrder="0"/>
    </xf>
    <xf borderId="0" fillId="0" fontId="5"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1" numFmtId="0" xfId="0" applyFont="1"/>
    <xf borderId="0" fillId="0" fontId="1" numFmtId="164" xfId="0" applyAlignment="1" applyFont="1" applyNumberFormat="1">
      <alignment horizontal="left"/>
    </xf>
    <xf borderId="0" fillId="0" fontId="1" numFmtId="164" xfId="0" applyAlignment="1" applyFont="1" applyNumberFormat="1">
      <alignment readingOrder="0"/>
    </xf>
    <xf borderId="0" fillId="0" fontId="6" numFmtId="0" xfId="0" applyAlignment="1" applyFont="1">
      <alignment readingOrder="0"/>
    </xf>
    <xf borderId="0" fillId="0" fontId="1" numFmtId="164" xfId="0" applyAlignment="1" applyFont="1" applyNumberFormat="1">
      <alignment horizontal="left" readingOrder="0"/>
    </xf>
    <xf borderId="0" fillId="0" fontId="1" numFmtId="0" xfId="0" applyFont="1"/>
    <xf borderId="0" fillId="0" fontId="7" numFmtId="0" xfId="0" applyFont="1"/>
    <xf borderId="0" fillId="0" fontId="8" numFmtId="0" xfId="0" applyFont="1"/>
    <xf borderId="0" fillId="0" fontId="9" numFmtId="0" xfId="0" applyAlignment="1" applyFont="1">
      <alignment readingOrder="0"/>
    </xf>
    <xf borderId="0" fillId="0" fontId="9" numFmtId="164" xfId="0" applyAlignment="1" applyFont="1" applyNumberFormat="1">
      <alignment horizontal="left" readingOrder="0"/>
    </xf>
    <xf borderId="0" fillId="0" fontId="10" numFmtId="0" xfId="0" applyAlignment="1" applyFont="1">
      <alignment readingOrder="0"/>
    </xf>
    <xf borderId="0" fillId="0" fontId="11" numFmtId="0" xfId="0" applyAlignment="1" applyFont="1">
      <alignment readingOrder="0"/>
    </xf>
    <xf borderId="0" fillId="0" fontId="1" numFmtId="0" xfId="0" applyAlignment="1" applyFont="1">
      <alignment readingOrder="0"/>
    </xf>
    <xf borderId="0" fillId="0" fontId="12" numFmtId="0" xfId="0" applyAlignment="1" applyFont="1">
      <alignment readingOrder="0"/>
    </xf>
    <xf borderId="0" fillId="5" fontId="13" numFmtId="0" xfId="0" applyAlignment="1" applyFill="1" applyFont="1">
      <alignment readingOrder="0" vertical="bottom"/>
    </xf>
    <xf borderId="0" fillId="5" fontId="14" numFmtId="164" xfId="0" applyAlignment="1" applyFont="1" applyNumberFormat="1">
      <alignment horizontal="left" readingOrder="0" vertical="bottom"/>
    </xf>
    <xf borderId="0" fillId="5" fontId="14" numFmtId="0" xfId="0" applyAlignment="1" applyFont="1">
      <alignment readingOrder="0" vertical="bottom"/>
    </xf>
    <xf borderId="0" fillId="5" fontId="14" numFmtId="0" xfId="0" applyAlignment="1" applyFont="1">
      <alignment vertical="bottom"/>
    </xf>
    <xf borderId="0" fillId="5" fontId="14" numFmtId="164" xfId="0" applyAlignment="1" applyFont="1" applyNumberFormat="1">
      <alignment readingOrder="0" vertical="bottom"/>
    </xf>
    <xf borderId="0" fillId="0" fontId="15" numFmtId="0" xfId="0" applyFont="1"/>
    <xf borderId="0" fillId="0" fontId="16" numFmtId="0" xfId="0" applyAlignment="1" applyFont="1">
      <alignment readingOrder="0"/>
    </xf>
    <xf borderId="0" fillId="0" fontId="1" numFmtId="164" xfId="0" applyFont="1" applyNumberFormat="1"/>
    <xf borderId="0" fillId="5" fontId="14" numFmtId="0" xfId="0" applyAlignment="1" applyFont="1">
      <alignment readingOrder="0" vertical="bottom"/>
    </xf>
    <xf borderId="0" fillId="5" fontId="17" numFmtId="164" xfId="0" applyAlignment="1" applyFont="1" applyNumberFormat="1">
      <alignment horizontal="left" readingOrder="0" vertical="bottom"/>
    </xf>
    <xf borderId="0" fillId="6" fontId="2" numFmtId="0" xfId="0" applyAlignment="1" applyFill="1" applyFont="1">
      <alignment readingOrder="0"/>
    </xf>
    <xf borderId="0" fillId="6" fontId="2" numFmtId="0" xfId="0" applyFont="1"/>
    <xf borderId="0" fillId="6" fontId="2" numFmtId="165" xfId="0" applyFont="1" applyNumberFormat="1"/>
    <xf borderId="0" fillId="6" fontId="2" numFmtId="166" xfId="0" applyFont="1" applyNumberFormat="1"/>
    <xf borderId="0" fillId="6" fontId="2" numFmtId="167" xfId="0" applyFont="1" applyNumberFormat="1"/>
    <xf borderId="0" fillId="6" fontId="18" numFmtId="0" xfId="0" applyAlignment="1" applyFont="1">
      <alignment readingOrder="0"/>
    </xf>
    <xf borderId="0" fillId="6" fontId="2" numFmtId="168" xfId="0" applyFont="1" applyNumberFormat="1"/>
    <xf borderId="0" fillId="4" fontId="19" numFmtId="0" xfId="0" applyFont="1"/>
    <xf borderId="0" fillId="4" fontId="1" numFmtId="0" xfId="0" applyFont="1"/>
    <xf borderId="0" fillId="4" fontId="1" numFmtId="165" xfId="0" applyFont="1" applyNumberFormat="1"/>
    <xf borderId="0" fillId="4" fontId="1" numFmtId="166" xfId="0" applyFont="1" applyNumberFormat="1"/>
    <xf borderId="0" fillId="4" fontId="1" numFmtId="167" xfId="0" applyFont="1" applyNumberFormat="1"/>
    <xf borderId="0" fillId="4" fontId="1" numFmtId="168" xfId="0" applyFont="1" applyNumberFormat="1"/>
    <xf borderId="0" fillId="7" fontId="20" numFmtId="0" xfId="0" applyFill="1" applyFont="1"/>
    <xf borderId="0" fillId="7" fontId="1" numFmtId="0" xfId="0" applyFont="1"/>
    <xf borderId="0" fillId="7" fontId="1" numFmtId="165" xfId="0" applyFont="1" applyNumberFormat="1"/>
    <xf borderId="0" fillId="7" fontId="1" numFmtId="166" xfId="0" applyFont="1" applyNumberFormat="1"/>
    <xf borderId="0" fillId="7" fontId="1" numFmtId="167" xfId="0" applyFont="1" applyNumberFormat="1"/>
    <xf borderId="0" fillId="7" fontId="1" numFmtId="168" xfId="0" applyFont="1" applyNumberFormat="1"/>
    <xf borderId="0" fillId="4" fontId="1" numFmtId="0" xfId="0" applyAlignment="1" applyFont="1">
      <alignment readingOrder="0"/>
    </xf>
    <xf borderId="0" fillId="7" fontId="1" numFmtId="165" xfId="0" applyAlignment="1" applyFont="1" applyNumberFormat="1">
      <alignment readingOrder="0"/>
    </xf>
    <xf borderId="0" fillId="7" fontId="21" numFmtId="0" xfId="0" applyAlignment="1" applyFont="1">
      <alignment readingOrder="0"/>
    </xf>
    <xf borderId="0" fillId="4" fontId="22" numFmtId="0" xfId="0" applyAlignment="1" applyFont="1">
      <alignment readingOrder="0"/>
    </xf>
    <xf borderId="0" fillId="4" fontId="1" numFmtId="165" xfId="0" applyAlignment="1" applyFont="1" applyNumberFormat="1">
      <alignment readingOrder="0"/>
    </xf>
    <xf borderId="0" fillId="7" fontId="1" numFmtId="0" xfId="0" applyAlignment="1" applyFont="1">
      <alignment readingOrder="0"/>
    </xf>
    <xf borderId="0" fillId="4" fontId="1" numFmtId="0" xfId="0" applyFont="1"/>
    <xf borderId="0" fillId="7" fontId="1" numFmtId="166" xfId="0" applyAlignment="1" applyFont="1" applyNumberFormat="1">
      <alignment readingOrder="0"/>
    </xf>
    <xf borderId="0" fillId="7" fontId="1" numFmtId="167" xfId="0" applyAlignment="1" applyFont="1" applyNumberFormat="1">
      <alignment readingOrder="0"/>
    </xf>
    <xf borderId="0" fillId="7" fontId="1" numFmtId="0" xfId="0" applyAlignment="1" applyFont="1">
      <alignment readingOrder="0"/>
    </xf>
    <xf borderId="0" fillId="7" fontId="1" numFmtId="0" xfId="0" applyFont="1"/>
    <xf borderId="0" fillId="4" fontId="1" numFmtId="169" xfId="0" applyFont="1" applyNumberFormat="1"/>
    <xf borderId="0" fillId="7" fontId="1" numFmtId="170" xfId="0" applyFont="1" applyNumberFormat="1"/>
    <xf borderId="0" fillId="4" fontId="1" numFmtId="166" xfId="0" applyAlignment="1" applyFont="1" applyNumberFormat="1">
      <alignment readingOrder="0"/>
    </xf>
    <xf borderId="0" fillId="4" fontId="1" numFmtId="167" xfId="0" applyAlignment="1" applyFont="1" applyNumberFormat="1">
      <alignment readingOrder="0"/>
    </xf>
    <xf borderId="0" fillId="4" fontId="1" numFmtId="0" xfId="0" applyAlignment="1" applyFont="1">
      <alignment readingOrder="0"/>
    </xf>
    <xf borderId="0" fillId="7" fontId="11" numFmtId="0" xfId="0" applyAlignment="1" applyFont="1">
      <alignment readingOrder="0"/>
    </xf>
    <xf borderId="0" fillId="7" fontId="23" numFmtId="0" xfId="0" applyAlignment="1" applyFont="1">
      <alignment horizontal="left" readingOrder="0"/>
    </xf>
    <xf borderId="0" fillId="4" fontId="24" numFmtId="0" xfId="0" applyAlignment="1" applyFont="1">
      <alignment readingOrder="0"/>
    </xf>
    <xf borderId="0" fillId="7" fontId="25" numFmtId="0" xfId="0" applyAlignment="1" applyFont="1">
      <alignment readingOrder="0"/>
    </xf>
    <xf borderId="0" fillId="7" fontId="1" numFmtId="0" xfId="0" applyFont="1"/>
    <xf borderId="0" fillId="4" fontId="1" numFmtId="0" xfId="0" applyFont="1"/>
    <xf borderId="0" fillId="7" fontId="1" numFmtId="0" xfId="0" applyAlignment="1" applyFont="1">
      <alignment readingOrder="0"/>
    </xf>
    <xf borderId="0" fillId="4" fontId="1" numFmtId="0" xfId="0" applyAlignment="1" applyFont="1">
      <alignment readingOrder="0"/>
    </xf>
    <xf borderId="0" fillId="4" fontId="26" numFmtId="0" xfId="0" applyAlignment="1" applyFont="1">
      <alignment readingOrder="0"/>
    </xf>
    <xf borderId="0" fillId="7" fontId="27" numFmtId="0" xfId="0" applyAlignment="1" applyFont="1">
      <alignment readingOrder="0"/>
    </xf>
    <xf borderId="0" fillId="8" fontId="2" numFmtId="0" xfId="0" applyAlignment="1" applyFill="1" applyFont="1">
      <alignment horizontal="center" readingOrder="0"/>
    </xf>
    <xf borderId="0" fillId="8" fontId="2" numFmtId="171" xfId="0" applyAlignment="1" applyFont="1" applyNumberFormat="1">
      <alignment horizontal="center" readingOrder="0"/>
    </xf>
    <xf borderId="0" fillId="8" fontId="2" numFmtId="172" xfId="0" applyAlignment="1" applyFont="1" applyNumberFormat="1">
      <alignment horizontal="center" readingOrder="0"/>
    </xf>
    <xf borderId="0" fillId="8" fontId="2" numFmtId="173" xfId="0" applyAlignment="1" applyFont="1" applyNumberFormat="1">
      <alignment horizontal="center" readingOrder="0"/>
    </xf>
    <xf borderId="0" fillId="8" fontId="2" numFmtId="174" xfId="0" applyAlignment="1" applyFont="1" applyNumberFormat="1">
      <alignment horizontal="center" readingOrder="0"/>
    </xf>
    <xf borderId="0" fillId="8" fontId="2" numFmtId="49" xfId="0" applyAlignment="1" applyFont="1" applyNumberFormat="1">
      <alignment horizontal="center" readingOrder="0"/>
    </xf>
    <xf borderId="0" fillId="0" fontId="1" numFmtId="0" xfId="0" applyAlignment="1" applyFont="1">
      <alignment horizontal="center" readingOrder="0"/>
    </xf>
    <xf borderId="0" fillId="0" fontId="1" numFmtId="166" xfId="0" applyAlignment="1" applyFont="1" applyNumberFormat="1">
      <alignment horizontal="center" readingOrder="0"/>
    </xf>
    <xf borderId="0" fillId="0" fontId="1" numFmtId="175" xfId="0" applyAlignment="1" applyFont="1" applyNumberFormat="1">
      <alignment horizontal="center" readingOrder="0"/>
    </xf>
    <xf borderId="0" fillId="0" fontId="1" numFmtId="171" xfId="0" applyAlignment="1" applyFont="1" applyNumberFormat="1">
      <alignment horizontal="center" readingOrder="0"/>
    </xf>
    <xf borderId="0" fillId="0" fontId="1" numFmtId="176" xfId="0" applyAlignment="1" applyFont="1" applyNumberFormat="1">
      <alignment horizontal="center" readingOrder="0"/>
    </xf>
    <xf borderId="0" fillId="0" fontId="14" numFmtId="172" xfId="0" applyAlignment="1" applyFont="1" applyNumberFormat="1">
      <alignment horizontal="center" vertical="bottom"/>
    </xf>
    <xf borderId="0" fillId="0" fontId="1" numFmtId="177" xfId="0" applyAlignment="1" applyFont="1" applyNumberFormat="1">
      <alignment horizontal="center" readingOrder="0"/>
    </xf>
    <xf borderId="0" fillId="3" fontId="1" numFmtId="173" xfId="0" applyAlignment="1" applyFont="1" applyNumberFormat="1">
      <alignment horizontal="center" readingOrder="0"/>
    </xf>
    <xf borderId="0" fillId="3" fontId="1" numFmtId="174" xfId="0" applyAlignment="1" applyFont="1" applyNumberFormat="1">
      <alignment horizontal="center" readingOrder="0"/>
    </xf>
    <xf borderId="0" fillId="0" fontId="1" numFmtId="49" xfId="0" applyAlignment="1" applyFont="1" applyNumberFormat="1">
      <alignment horizontal="center" readingOrder="0"/>
    </xf>
    <xf borderId="0" fillId="3" fontId="1" numFmtId="0" xfId="0" applyAlignment="1" applyFont="1">
      <alignment horizontal="center" readingOrder="0"/>
    </xf>
    <xf borderId="0" fillId="0" fontId="1" numFmtId="171" xfId="0" applyAlignment="1" applyFont="1" applyNumberFormat="1">
      <alignment horizontal="center"/>
    </xf>
    <xf borderId="0" fillId="0" fontId="1" numFmtId="176" xfId="0" applyAlignment="1" applyFont="1" applyNumberFormat="1">
      <alignment horizontal="center"/>
    </xf>
    <xf borderId="0" fillId="2" fontId="14" numFmtId="172" xfId="0" applyAlignment="1" applyFont="1" applyNumberFormat="1">
      <alignment horizontal="center" vertical="bottom"/>
    </xf>
    <xf borderId="0" fillId="0" fontId="1" numFmtId="166" xfId="0" applyAlignment="1" applyFont="1" applyNumberFormat="1">
      <alignment horizontal="center"/>
    </xf>
    <xf borderId="0" fillId="0" fontId="1" numFmtId="174" xfId="0" applyAlignment="1" applyFont="1" applyNumberFormat="1">
      <alignment horizontal="center" readingOrder="0"/>
    </xf>
    <xf borderId="0" fillId="0" fontId="1" numFmtId="174" xfId="0" applyAlignment="1" applyFont="1" applyNumberFormat="1">
      <alignment horizontal="center"/>
    </xf>
    <xf borderId="0" fillId="0" fontId="1" numFmtId="0" xfId="0" applyAlignment="1" applyFont="1">
      <alignment horizontal="center"/>
    </xf>
    <xf borderId="0" fillId="0" fontId="1" numFmtId="172" xfId="0" applyAlignment="1" applyFont="1" applyNumberFormat="1">
      <alignment horizontal="center" readingOrder="0"/>
    </xf>
    <xf quotePrefix="1" borderId="0" fillId="0" fontId="1" numFmtId="49" xfId="0" applyAlignment="1" applyFont="1" applyNumberFormat="1">
      <alignment horizontal="center" readingOrder="0"/>
    </xf>
    <xf borderId="0" fillId="0" fontId="1" numFmtId="0" xfId="0" applyFont="1"/>
    <xf borderId="0" fillId="0" fontId="1" numFmtId="175" xfId="0" applyAlignment="1" applyFont="1" applyNumberFormat="1">
      <alignment horizontal="center"/>
    </xf>
    <xf borderId="0" fillId="0" fontId="1" numFmtId="177" xfId="0" applyAlignment="1" applyFont="1" applyNumberFormat="1">
      <alignment horizontal="center"/>
    </xf>
    <xf borderId="0" fillId="0" fontId="28" numFmtId="0" xfId="0" applyAlignment="1" applyFont="1">
      <alignment readingOrder="0"/>
    </xf>
    <xf borderId="0" fillId="2" fontId="14" numFmtId="172" xfId="0" applyAlignment="1" applyFont="1" applyNumberFormat="1">
      <alignment horizontal="center" readingOrder="0" vertical="bottom"/>
    </xf>
    <xf borderId="0" fillId="0" fontId="29" numFmtId="0" xfId="0" applyFont="1"/>
    <xf borderId="0" fillId="0" fontId="1" numFmtId="0" xfId="0" applyFont="1"/>
    <xf borderId="0" fillId="2" fontId="1" numFmtId="0" xfId="0" applyAlignment="1" applyFont="1">
      <alignment horizontal="center" readingOrder="0"/>
    </xf>
    <xf borderId="0" fillId="0" fontId="30" numFmtId="0" xfId="0" applyAlignment="1" applyFont="1">
      <alignment readingOrder="0"/>
    </xf>
    <xf borderId="0" fillId="0" fontId="1" numFmtId="173" xfId="0" applyAlignment="1" applyFont="1" applyNumberFormat="1">
      <alignment horizontal="center" readingOrder="0"/>
    </xf>
    <xf borderId="0" fillId="9" fontId="2" numFmtId="0" xfId="0" applyAlignment="1" applyFill="1" applyFont="1">
      <alignment horizontal="center" readingOrder="0"/>
    </xf>
    <xf borderId="0" fillId="9" fontId="2" numFmtId="171" xfId="0" applyAlignment="1" applyFont="1" applyNumberFormat="1">
      <alignment horizontal="center" readingOrder="0"/>
    </xf>
    <xf borderId="0" fillId="9" fontId="2" numFmtId="172" xfId="0" applyAlignment="1" applyFont="1" applyNumberFormat="1">
      <alignment horizontal="center" readingOrder="0"/>
    </xf>
    <xf borderId="0" fillId="9" fontId="2" numFmtId="174" xfId="0" applyAlignment="1" applyFont="1" applyNumberFormat="1">
      <alignment horizontal="center" readingOrder="0"/>
    </xf>
    <xf borderId="0" fillId="9" fontId="2" numFmtId="49" xfId="0" applyAlignment="1" applyFont="1" applyNumberFormat="1">
      <alignment horizontal="center" readingOrder="0"/>
    </xf>
    <xf borderId="0" fillId="0" fontId="1" numFmtId="171" xfId="0" applyAlignment="1" applyFont="1" applyNumberFormat="1">
      <alignment horizontal="right" readingOrder="0"/>
    </xf>
    <xf borderId="0" fillId="0" fontId="1" numFmtId="176" xfId="0" applyAlignment="1" applyFont="1" applyNumberFormat="1">
      <alignment horizontal="right" readingOrder="0"/>
    </xf>
    <xf borderId="0" fillId="2" fontId="14" numFmtId="172" xfId="0" applyAlignment="1" applyFont="1" applyNumberFormat="1">
      <alignment horizontal="right" vertical="bottom"/>
    </xf>
    <xf borderId="0" fillId="0" fontId="1" numFmtId="166" xfId="0" applyAlignment="1" applyFont="1" applyNumberFormat="1">
      <alignment horizontal="right" readingOrder="0"/>
    </xf>
    <xf borderId="0" fillId="0" fontId="1" numFmtId="177" xfId="0" applyAlignment="1" applyFont="1" applyNumberFormat="1">
      <alignment horizontal="right"/>
    </xf>
    <xf borderId="0" fillId="0" fontId="1" numFmtId="166" xfId="0" applyAlignment="1" applyFont="1" applyNumberFormat="1">
      <alignment horizontal="right"/>
    </xf>
    <xf borderId="0" fillId="3" fontId="1" numFmtId="178" xfId="0" applyAlignment="1" applyFont="1" applyNumberFormat="1">
      <alignment horizontal="right" readingOrder="0"/>
    </xf>
    <xf borderId="0" fillId="3" fontId="1" numFmtId="0" xfId="0" applyAlignment="1" applyFont="1">
      <alignment horizontal="center"/>
    </xf>
    <xf borderId="0" fillId="0" fontId="1" numFmtId="0" xfId="0" applyAlignment="1" applyFont="1">
      <alignment horizontal="center"/>
    </xf>
    <xf borderId="0" fillId="0" fontId="1" numFmtId="179" xfId="0" applyAlignment="1" applyFont="1" applyNumberFormat="1">
      <alignment horizontal="right" readingOrder="0"/>
    </xf>
    <xf borderId="0" fillId="0" fontId="1" numFmtId="177" xfId="0" applyAlignment="1" applyFont="1" applyNumberFormat="1">
      <alignment horizontal="right" readingOrder="0"/>
    </xf>
    <xf borderId="0" fillId="0" fontId="1" numFmtId="178" xfId="0" applyAlignment="1" applyFont="1" applyNumberFormat="1">
      <alignment horizontal="right" readingOrder="0"/>
    </xf>
    <xf borderId="0" fillId="0" fontId="1" numFmtId="176" xfId="0" applyAlignment="1" applyFont="1" applyNumberFormat="1">
      <alignment horizontal="right"/>
    </xf>
    <xf borderId="0" fillId="0" fontId="1" numFmtId="174" xfId="0" applyAlignment="1" applyFont="1" applyNumberFormat="1">
      <alignment horizontal="right" readingOrder="0"/>
    </xf>
    <xf borderId="0" fillId="0" fontId="1" numFmtId="169" xfId="0" applyFont="1" applyNumberFormat="1"/>
    <xf borderId="0" fillId="0" fontId="1" numFmtId="171" xfId="0" applyAlignment="1" applyFont="1" applyNumberFormat="1">
      <alignment horizontal="right"/>
    </xf>
    <xf borderId="0" fillId="0" fontId="1" numFmtId="178" xfId="0" applyAlignment="1" applyFont="1" applyNumberFormat="1">
      <alignment horizontal="right"/>
    </xf>
    <xf borderId="0" fillId="0" fontId="1" numFmtId="174" xfId="0" applyAlignment="1" applyFont="1" applyNumberFormat="1">
      <alignment horizontal="right"/>
    </xf>
    <xf borderId="0" fillId="0" fontId="31" numFmtId="0" xfId="0" applyAlignment="1" applyFont="1">
      <alignment readingOrder="0"/>
    </xf>
    <xf borderId="0" fillId="3" fontId="1" numFmtId="174" xfId="0" applyAlignment="1" applyFont="1" applyNumberFormat="1">
      <alignment horizontal="right" readingOrder="0"/>
    </xf>
    <xf borderId="0" fillId="0" fontId="1" numFmtId="171" xfId="0" applyAlignment="1" applyFont="1" applyNumberFormat="1">
      <alignment readingOrder="0"/>
    </xf>
    <xf borderId="0" fillId="0" fontId="1" numFmtId="0" xfId="0" applyAlignment="1" applyFont="1">
      <alignment readingOrder="0"/>
    </xf>
    <xf borderId="0" fillId="10" fontId="32" numFmtId="0" xfId="0" applyAlignment="1" applyFill="1" applyFont="1">
      <alignment readingOrder="0"/>
    </xf>
    <xf borderId="0" fillId="10" fontId="32" numFmtId="0" xfId="0" applyFont="1"/>
    <xf borderId="0" fillId="10" fontId="32" numFmtId="166" xfId="0" applyFont="1" applyNumberFormat="1"/>
    <xf borderId="0" fillId="10" fontId="32" numFmtId="169" xfId="0" applyFont="1" applyNumberFormat="1"/>
    <xf borderId="0" fillId="10" fontId="32" numFmtId="0" xfId="0" applyAlignment="1" applyFont="1">
      <alignment horizontal="center"/>
    </xf>
    <xf borderId="0" fillId="0" fontId="1" numFmtId="169" xfId="0" applyFont="1" applyNumberFormat="1"/>
    <xf borderId="0" fillId="0" fontId="1" numFmtId="169" xfId="0" applyAlignment="1" applyFont="1" applyNumberFormat="1">
      <alignment readingOrder="0"/>
    </xf>
    <xf borderId="0" fillId="0" fontId="33" numFmtId="0" xfId="0" applyAlignment="1" applyFont="1">
      <alignment readingOrder="0"/>
    </xf>
    <xf borderId="0" fillId="0" fontId="1" numFmtId="0" xfId="0" applyFont="1"/>
    <xf borderId="0" fillId="11" fontId="34" numFmtId="0" xfId="0" applyAlignment="1" applyFill="1" applyFont="1">
      <alignment readingOrder="0"/>
    </xf>
    <xf borderId="0" fillId="11" fontId="1" numFmtId="0" xfId="0" applyAlignment="1" applyFont="1">
      <alignment readingOrder="0"/>
    </xf>
    <xf borderId="0" fillId="11" fontId="1" numFmtId="166" xfId="0" applyAlignment="1" applyFont="1" applyNumberFormat="1">
      <alignment readingOrder="0"/>
    </xf>
    <xf borderId="0" fillId="11" fontId="1" numFmtId="165" xfId="0" applyAlignment="1" applyFont="1" applyNumberFormat="1">
      <alignment readingOrder="0"/>
    </xf>
    <xf borderId="0" fillId="11" fontId="35" numFmtId="0" xfId="0" applyAlignment="1" applyFont="1">
      <alignment readingOrder="0"/>
    </xf>
    <xf borderId="0" fillId="0" fontId="36" numFmtId="0" xfId="0" applyAlignment="1" applyFont="1">
      <alignment readingOrder="0"/>
    </xf>
    <xf borderId="0" fillId="11" fontId="37" numFmtId="0" xfId="0" applyAlignment="1" applyFont="1">
      <alignment readingOrder="0"/>
    </xf>
    <xf borderId="0" fillId="11" fontId="1" numFmtId="0" xfId="0" applyFont="1"/>
    <xf borderId="0" fillId="12" fontId="38" numFmtId="0" xfId="0" applyAlignment="1" applyFill="1" applyFont="1">
      <alignment readingOrder="0"/>
    </xf>
    <xf borderId="0" fillId="12" fontId="1" numFmtId="0" xfId="0" applyAlignment="1" applyFont="1">
      <alignment readingOrder="0"/>
    </xf>
    <xf borderId="0" fillId="12" fontId="1" numFmtId="169" xfId="0" applyAlignment="1" applyFont="1" applyNumberFormat="1">
      <alignment readingOrder="0"/>
    </xf>
    <xf borderId="0" fillId="12" fontId="39" numFmtId="0" xfId="0" applyAlignment="1" applyFont="1">
      <alignment readingOrder="0"/>
    </xf>
    <xf borderId="0" fillId="12" fontId="40" numFmtId="0" xfId="0" applyAlignment="1" applyFont="1">
      <alignment readingOrder="0"/>
    </xf>
    <xf borderId="0" fillId="12" fontId="1" numFmtId="0" xfId="0" applyFont="1"/>
    <xf borderId="0" fillId="0" fontId="1" numFmtId="165" xfId="0" applyAlignment="1" applyFont="1" applyNumberFormat="1">
      <alignment readingOrder="0"/>
    </xf>
    <xf borderId="0" fillId="0" fontId="2" numFmtId="0" xfId="0" applyFont="1"/>
    <xf borderId="0" fillId="0" fontId="2" numFmtId="165" xfId="0" applyFont="1" applyNumberFormat="1"/>
    <xf borderId="0" fillId="0" fontId="2" numFmtId="166" xfId="0" applyFont="1" applyNumberFormat="1"/>
    <xf borderId="0" fillId="0" fontId="2" numFmtId="167"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9" xfId="0" applyAlignment="1" applyFont="1" applyNumberFormat="1">
      <alignment readingOrder="0"/>
    </xf>
    <xf borderId="0" fillId="13" fontId="32" numFmtId="0" xfId="0" applyAlignment="1" applyFill="1" applyFont="1">
      <alignment horizontal="left"/>
    </xf>
    <xf borderId="0" fillId="14" fontId="32" numFmtId="0" xfId="0" applyAlignment="1" applyFill="1" applyFont="1">
      <alignment horizontal="left"/>
    </xf>
    <xf borderId="0" fillId="14" fontId="32" numFmtId="0" xfId="0" applyFont="1"/>
    <xf borderId="0" fillId="14" fontId="32" numFmtId="166" xfId="0" applyFont="1" applyNumberFormat="1"/>
    <xf borderId="0" fillId="14" fontId="32" numFmtId="167" xfId="0" applyFont="1" applyNumberFormat="1"/>
    <xf borderId="0" fillId="14" fontId="32" numFmtId="169" xfId="0" applyFont="1" applyNumberFormat="1"/>
    <xf borderId="0" fillId="14" fontId="32" numFmtId="0" xfId="0" applyAlignment="1" applyFont="1">
      <alignment horizontal="center"/>
    </xf>
    <xf borderId="0" fillId="0" fontId="41" numFmtId="0" xfId="0" applyAlignment="1" applyFont="1">
      <alignment horizontal="left"/>
    </xf>
    <xf borderId="0" fillId="0" fontId="1" numFmtId="0" xfId="0" applyAlignment="1" applyFont="1">
      <alignment horizontal="left"/>
    </xf>
    <xf borderId="0" fillId="0" fontId="1" numFmtId="166" xfId="0" applyFont="1" applyNumberFormat="1"/>
    <xf borderId="0" fillId="0" fontId="1" numFmtId="165" xfId="0" applyFont="1" applyNumberFormat="1"/>
    <xf borderId="0" fillId="0" fontId="1" numFmtId="167" xfId="0" applyFont="1" applyNumberFormat="1"/>
    <xf borderId="0" fillId="0" fontId="42" numFmtId="0" xfId="0" applyAlignment="1" applyFont="1">
      <alignment horizontal="left"/>
    </xf>
    <xf borderId="0" fillId="0" fontId="43" numFmtId="0" xfId="0" applyAlignment="1" applyFont="1">
      <alignment horizontal="left"/>
    </xf>
    <xf borderId="0" fillId="0" fontId="1" numFmtId="0" xfId="0" applyAlignment="1" applyFont="1">
      <alignment horizontal="left" readingOrder="0"/>
    </xf>
    <xf borderId="0" fillId="0" fontId="44" numFmtId="0" xfId="0" applyAlignment="1" applyFont="1">
      <alignment horizontal="lef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borderId="0" fillId="0" fontId="45" numFmtId="0" xfId="0" applyAlignment="1" applyFont="1">
      <alignment horizontal="left"/>
    </xf>
    <xf borderId="0" fillId="0" fontId="1" numFmtId="0" xfId="0" applyAlignment="1" applyFont="1">
      <alignment horizontal="left"/>
    </xf>
    <xf borderId="0" fillId="0" fontId="46" numFmtId="0" xfId="0" applyAlignment="1" applyFont="1">
      <alignment horizontal="left" readingOrder="0"/>
    </xf>
    <xf borderId="0" fillId="0" fontId="47" numFmtId="0" xfId="0" applyAlignment="1" applyFont="1">
      <alignment horizontal="left" readingOrder="0"/>
    </xf>
    <xf borderId="0" fillId="0" fontId="48" numFmtId="0" xfId="0" applyAlignment="1" applyFont="1">
      <alignment horizontal="left" readingOrder="0"/>
    </xf>
    <xf borderId="0" fillId="0" fontId="1" numFmtId="0" xfId="0" applyAlignment="1" applyFont="1">
      <alignment horizontal="right" readingOrder="0"/>
    </xf>
    <xf borderId="0" fillId="0" fontId="1" numFmtId="167" xfId="0" applyAlignment="1" applyFont="1" applyNumberFormat="1">
      <alignment horizontal="right" readingOrder="0"/>
    </xf>
    <xf borderId="0" fillId="0" fontId="1" numFmtId="169" xfId="0" applyAlignment="1" applyFont="1" applyNumberFormat="1">
      <alignment horizontal="left" readingOrder="0"/>
    </xf>
    <xf borderId="0" fillId="0" fontId="1" numFmtId="165" xfId="0" applyAlignment="1" applyFont="1" applyNumberFormat="1">
      <alignment horizontal="right" readingOrder="0"/>
    </xf>
    <xf borderId="0" fillId="0" fontId="49" numFmtId="169" xfId="0" applyAlignment="1" applyFont="1" applyNumberFormat="1">
      <alignment readingOrder="0"/>
    </xf>
    <xf borderId="0" fillId="4" fontId="23" numFmtId="0" xfId="0" applyAlignment="1" applyFont="1">
      <alignment horizontal="left" readingOrder="0"/>
    </xf>
    <xf borderId="0" fillId="5" fontId="23" numFmtId="166" xfId="0" applyAlignment="1" applyFont="1" applyNumberFormat="1">
      <alignment horizontal="left" readingOrder="0"/>
    </xf>
    <xf borderId="0" fillId="0" fontId="1" numFmtId="0" xfId="0" applyAlignment="1" applyFont="1">
      <alignment horizontal="left"/>
    </xf>
    <xf borderId="0" fillId="0" fontId="1" numFmtId="0" xfId="0" applyAlignment="1" applyFont="1">
      <alignment horizontal="left"/>
    </xf>
    <xf borderId="0" fillId="0" fontId="1" numFmtId="0" xfId="0" applyAlignment="1" applyFont="1">
      <alignment horizontal="left" readingOrder="0"/>
    </xf>
    <xf borderId="0" fillId="0" fontId="2" numFmtId="0" xfId="0" applyFont="1"/>
    <xf borderId="0" fillId="0" fontId="2" numFmtId="0" xfId="0" applyAlignment="1" applyFont="1">
      <alignment readingOrder="0"/>
    </xf>
    <xf borderId="0" fillId="0" fontId="50" numFmtId="0" xfId="0" applyAlignment="1" applyFont="1">
      <alignment readingOrder="0" shrinkToFit="0" wrapText="1"/>
    </xf>
    <xf borderId="0" fillId="4" fontId="51" numFmtId="0" xfId="0" applyAlignment="1" applyFont="1">
      <alignment readingOrder="0"/>
    </xf>
    <xf borderId="0" fillId="4" fontId="52" numFmtId="0" xfId="0" applyAlignment="1" applyFont="1">
      <alignment readingOrder="0"/>
    </xf>
    <xf borderId="0" fillId="4" fontId="53" numFmtId="0" xfId="0" applyAlignment="1" applyFont="1">
      <alignment readingOrder="0"/>
    </xf>
    <xf borderId="0" fillId="0" fontId="2" numFmtId="180" xfId="0" applyFont="1" applyNumberFormat="1"/>
    <xf borderId="0" fillId="0" fontId="2" numFmtId="166" xfId="0" applyFont="1" applyNumberFormat="1"/>
    <xf borderId="0" fillId="0" fontId="2" numFmtId="177" xfId="0" applyFont="1" applyNumberFormat="1"/>
    <xf borderId="0" fillId="0" fontId="2" numFmtId="165" xfId="0" applyAlignment="1" applyFont="1" applyNumberFormat="1">
      <alignment readingOrder="0"/>
    </xf>
    <xf borderId="0" fillId="0" fontId="2" numFmtId="165" xfId="0" applyFont="1" applyNumberFormat="1"/>
    <xf borderId="0" fillId="0" fontId="1" numFmtId="180" xfId="0" applyFont="1" applyNumberFormat="1"/>
    <xf borderId="0" fillId="0" fontId="1" numFmtId="177" xfId="0" applyFont="1" applyNumberFormat="1"/>
    <xf borderId="0" fillId="0" fontId="1" numFmtId="180" xfId="0" applyAlignment="1" applyFont="1" applyNumberFormat="1">
      <alignment readingOrder="0"/>
    </xf>
    <xf borderId="0" fillId="0" fontId="1" numFmtId="177" xfId="0" applyAlignment="1" applyFont="1" applyNumberFormat="1">
      <alignment readingOrder="0"/>
    </xf>
    <xf quotePrefix="1" borderId="0" fillId="0" fontId="1" numFmtId="0" xfId="0" applyAlignment="1" applyFont="1">
      <alignment readingOrder="0"/>
    </xf>
    <xf quotePrefix="1" borderId="0" fillId="0" fontId="1" numFmtId="0" xfId="0" applyFont="1"/>
    <xf borderId="0" fillId="5" fontId="23" numFmtId="0" xfId="0" applyAlignment="1" applyFont="1">
      <alignment horizontal="left" readingOrder="0"/>
    </xf>
    <xf borderId="0" fillId="0" fontId="1" numFmtId="181" xfId="0" applyAlignment="1" applyFont="1" applyNumberFormat="1">
      <alignment horizontal="center" readingOrder="0"/>
    </xf>
    <xf borderId="0" fillId="0" fontId="1" numFmtId="182" xfId="0" applyAlignment="1" applyFont="1" applyNumberFormat="1">
      <alignment horizontal="center" readingOrder="0"/>
    </xf>
    <xf borderId="0" fillId="0" fontId="1" numFmtId="183" xfId="0" applyAlignment="1" applyFont="1" applyNumberFormat="1">
      <alignment readingOrder="0"/>
    </xf>
    <xf borderId="0" fillId="0" fontId="1" numFmtId="184" xfId="0" applyAlignment="1" applyFont="1" applyNumberFormat="1">
      <alignment horizontal="center" readingOrder="0"/>
    </xf>
    <xf borderId="0" fillId="0" fontId="1" numFmtId="183" xfId="0" applyFont="1" applyNumberFormat="1"/>
    <xf quotePrefix="1" borderId="0" fillId="0" fontId="54" numFmtId="0" xfId="0" applyAlignment="1" applyFont="1">
      <alignment readingOrder="0"/>
    </xf>
    <xf borderId="0" fillId="0" fontId="55" numFmtId="0" xfId="0" applyAlignment="1" applyFont="1">
      <alignment readingOrder="0"/>
    </xf>
    <xf borderId="0" fillId="0" fontId="2" numFmtId="185" xfId="0" applyFont="1" applyNumberFormat="1"/>
    <xf borderId="0" fillId="0" fontId="9" numFmtId="0" xfId="0" applyAlignment="1" applyFont="1">
      <alignment readingOrder="0"/>
    </xf>
    <xf borderId="0" fillId="0" fontId="1" numFmtId="186" xfId="0" applyFont="1" applyNumberFormat="1"/>
    <xf borderId="0" fillId="0" fontId="1" numFmtId="185" xfId="0" applyFont="1" applyNumberFormat="1"/>
    <xf borderId="0" fillId="5" fontId="23" numFmtId="0" xfId="0" applyAlignment="1" applyFont="1">
      <alignment horizontal="left" readingOrder="0"/>
    </xf>
    <xf borderId="0" fillId="0" fontId="1" numFmtId="185" xfId="0" applyAlignment="1" applyFont="1" applyNumberFormat="1">
      <alignment readingOrder="0"/>
    </xf>
    <xf borderId="0" fillId="0" fontId="56" numFmtId="0" xfId="0" applyAlignment="1" applyFont="1">
      <alignment readingOrder="0"/>
    </xf>
    <xf borderId="0" fillId="0" fontId="1" numFmtId="186" xfId="0" applyAlignment="1" applyFont="1" applyNumberFormat="1">
      <alignment readingOrder="0"/>
    </xf>
    <xf borderId="0" fillId="0" fontId="1" numFmtId="187" xfId="0" applyAlignment="1" applyFont="1" applyNumberFormat="1">
      <alignment readingOrder="0"/>
    </xf>
    <xf borderId="0" fillId="0" fontId="2" numFmtId="0" xfId="0" applyFont="1"/>
  </cellXfs>
  <cellStyles count="1">
    <cellStyle xfId="0" name="Normal" builtinId="0"/>
  </cellStyles>
  <dxfs count="26">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FCE8B2"/>
          <bgColor rgb="FFFCE8B2"/>
        </patternFill>
      </fill>
      <border/>
    </dxf>
    <dxf>
      <font>
        <b/>
      </font>
      <fill>
        <patternFill patternType="solid">
          <fgColor rgb="FFFF9900"/>
          <bgColor rgb="FFFF9900"/>
        </patternFill>
      </fill>
      <border/>
    </dxf>
    <dxf>
      <font/>
      <fill>
        <patternFill patternType="solid">
          <fgColor rgb="FFF3F3F3"/>
          <bgColor rgb="FFF3F3F3"/>
        </patternFill>
      </fill>
      <border/>
    </dxf>
    <dxf>
      <font/>
      <fill>
        <patternFill patternType="solid">
          <fgColor rgb="FF93C47D"/>
          <bgColor rgb="FF93C47D"/>
        </patternFill>
      </fill>
      <border/>
    </dxf>
    <dxf>
      <font/>
      <fill>
        <patternFill patternType="solid">
          <fgColor rgb="FFEEF7E3"/>
          <bgColor rgb="FFEEF7E3"/>
        </patternFill>
      </fill>
      <border/>
    </dxf>
    <dxf>
      <font/>
      <fill>
        <patternFill patternType="solid">
          <fgColor rgb="FF76A5AF"/>
          <bgColor rgb="FF76A5AF"/>
        </patternFill>
      </fill>
      <border/>
    </dxf>
    <dxf>
      <font/>
      <fill>
        <patternFill patternType="solid">
          <fgColor rgb="FFD0E0E3"/>
          <bgColor rgb="FFD0E0E3"/>
        </patternFill>
      </fill>
      <border/>
    </dxf>
    <dxf>
      <font/>
      <fill>
        <patternFill patternType="solid">
          <fgColor rgb="FFF3F3F3"/>
          <bgColor rgb="FFF3F3F3"/>
        </patternFill>
      </fill>
      <border/>
    </dxf>
    <dxf>
      <font/>
      <fill>
        <patternFill patternType="solid">
          <fgColor rgb="FFC9DAF8"/>
          <bgColor rgb="FFC9DAF8"/>
        </patternFill>
      </fill>
      <border/>
    </dxf>
    <dxf>
      <font/>
      <fill>
        <patternFill patternType="solid">
          <fgColor rgb="FFE8F0FE"/>
          <bgColor rgb="FFE8F0FE"/>
        </patternFill>
      </fill>
      <border/>
    </dxf>
    <dxf>
      <font/>
      <fill>
        <patternFill patternType="solid">
          <fgColor rgb="FFFFE599"/>
          <bgColor rgb="FFFFE599"/>
        </patternFill>
      </fill>
      <border/>
    </dxf>
    <dxf>
      <font/>
      <fill>
        <patternFill patternType="solid">
          <fgColor rgb="FF5B95F9"/>
          <bgColor rgb="FF5B95F9"/>
        </patternFill>
      </fill>
      <border/>
    </dxf>
    <dxf>
      <font/>
      <fill>
        <patternFill patternType="solid">
          <fgColor rgb="FFCFE2F3"/>
          <bgColor rgb="FFCFE2F3"/>
        </patternFill>
      </fill>
      <border/>
    </dxf>
    <dxf>
      <font/>
      <fill>
        <patternFill patternType="solid">
          <fgColor rgb="FF6FA8DC"/>
          <bgColor rgb="FF6FA8DC"/>
        </patternFill>
      </fill>
      <border/>
    </dxf>
    <dxf>
      <font/>
      <fill>
        <patternFill patternType="solid">
          <fgColor rgb="FFFF00FF"/>
          <bgColor rgb="FFFF00FF"/>
        </patternFill>
      </fill>
      <border/>
    </dxf>
    <dxf>
      <font/>
      <fill>
        <patternFill patternType="solid">
          <fgColor rgb="FFEFEFEF"/>
          <bgColor rgb="FFEFEFEF"/>
        </patternFill>
      </fill>
      <border/>
    </dxf>
    <dxf>
      <font/>
      <fill>
        <patternFill patternType="solid">
          <fgColor rgb="FFE91D63"/>
          <bgColor rgb="FFE91D63"/>
        </patternFill>
      </fill>
      <border/>
    </dxf>
    <dxf>
      <font/>
      <fill>
        <patternFill patternType="solid">
          <fgColor rgb="FFFDDCE8"/>
          <bgColor rgb="FFFDDCE8"/>
        </patternFill>
      </fill>
      <border/>
    </dxf>
    <dxf>
      <font/>
      <fill>
        <patternFill patternType="solid">
          <fgColor rgb="FFCC0000"/>
          <bgColor rgb="FFCC0000"/>
        </patternFill>
      </fill>
      <border/>
    </dxf>
    <dxf>
      <font/>
      <fill>
        <patternFill patternType="solid">
          <fgColor rgb="FFD9D9D9"/>
          <bgColor rgb="FFD9D9D9"/>
        </patternFill>
      </fill>
      <border/>
    </dxf>
    <dxf>
      <font/>
      <fill>
        <patternFill patternType="solid">
          <fgColor rgb="FFF9CB9C"/>
          <bgColor rgb="FFF9CB9C"/>
        </patternFill>
      </fill>
      <border/>
    </dxf>
    <dxf>
      <font/>
      <fill>
        <patternFill patternType="solid">
          <fgColor rgb="FFFCE5CD"/>
          <bgColor rgb="FFFCE5CD"/>
        </patternFill>
      </fill>
      <border/>
    </dxf>
  </dxfs>
  <tableStyles count="12">
    <tableStyle count="4" pivot="0" name="Pattern Drivers-style">
      <tableStyleElement dxfId="1" type="headerRow"/>
      <tableStyleElement dxfId="2" type="firstRowStripe"/>
      <tableStyleElement dxfId="3" type="secondRowStripe"/>
      <tableStyleElement dxfId="4" type="totalRow"/>
    </tableStyle>
    <tableStyle count="3" pivot="0" name="Pixels-style">
      <tableStyleElement dxfId="7" type="headerRow"/>
      <tableStyleElement dxfId="2" type="firstRowStripe"/>
      <tableStyleElement dxfId="8" type="secondRowStripe"/>
    </tableStyle>
    <tableStyle count="3" pivot="0" name="Pixel ICs-style">
      <tableStyleElement dxfId="9" type="headerRow"/>
      <tableStyleElement dxfId="10" type="firstRowStripe"/>
      <tableStyleElement dxfId="11" type="secondRowStripe"/>
    </tableStyle>
    <tableStyle count="3" pivot="0" name="Pixel Decoders-style">
      <tableStyleElement dxfId="12" type="headerRow"/>
      <tableStyleElement dxfId="2" type="firstRowStripe"/>
      <tableStyleElement dxfId="13" type="secondRowStripe"/>
    </tableStyle>
    <tableStyle count="3" pivot="0" name="Level Converters-style">
      <tableStyleElement dxfId="14" type="headerRow"/>
      <tableStyleElement dxfId="2" type="firstRowStripe"/>
      <tableStyleElement dxfId="3" type="secondRowStripe"/>
    </tableStyle>
    <tableStyle count="2" pivot="0" name="Level Converters-style 2">
      <tableStyleElement dxfId="3" type="firstRowStripe"/>
      <tableStyleElement dxfId="2" type="secondRowStripe"/>
    </tableStyle>
    <tableStyle count="3" pivot="0" name="Adapters-style">
      <tableStyleElement dxfId="15" type="headerRow"/>
      <tableStyleElement dxfId="16" type="firstRowStripe"/>
      <tableStyleElement dxfId="17" type="secondRowStripe"/>
    </tableStyle>
    <tableStyle count="3" pivot="0" name="Drive Libraries-style">
      <tableStyleElement dxfId="18" type="headerRow"/>
      <tableStyleElement dxfId="2" type="firstRowStripe"/>
      <tableStyleElement dxfId="19" type="secondRowStripe"/>
    </tableStyle>
    <tableStyle count="3" pivot="0" name="DIY MicroBoards-style">
      <tableStyleElement dxfId="20" type="headerRow"/>
      <tableStyleElement dxfId="2" type="firstRowStripe"/>
      <tableStyleElement dxfId="21" type="secondRowStripe"/>
    </tableStyle>
    <tableStyle count="3" pivot="0" name="Connectors-style">
      <tableStyleElement dxfId="22" type="headerRow"/>
      <tableStyleElement dxfId="19" type="firstRowStripe"/>
      <tableStyleElement dxfId="23" type="secondRowStripe"/>
    </tableStyle>
    <tableStyle count="3" pivot="0" name="Diffusive Materials-style">
      <tableStyleElement dxfId="24" type="headerRow"/>
      <tableStyleElement dxfId="19" type="firstRowStripe"/>
      <tableStyleElement dxfId="25" type="secondRowStripe"/>
    </tableStyle>
    <tableStyle count="3" pivot="0" name=" Commercial Pixel System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e8bfae64-9199-4689-bffd-5fbcbf6e598b}">
    <Anchor>
      <Comment id="{a4d28937-bd63-40fc-8de9-c93d19504668}"/>
    </Anchor>
    <History>
      <Event time="2022-04-10T00:22:22.00" id="{6481f07e-e9f5-47c5-aa05-0bd5f5f3bf0e}">
        <Attribution userId="placeholder@email.com" userName="Adam Aglionby" userProvider="google-sheets"/>
        <Anchor>
          <Comment id="{a4d28937-bd63-40fc-8de9-c93d19504668}"/>
        </Anchor>
        <Create/>
      </Event>
      <Event time="2022-04-10T00:22:22.00" id="{cd5c1552-58e7-4aca-8a20-2f908470f69a}">
        <Attribution userId="placeholder@email.com" userName="Adam Aglionby" userProvider="google-sheets"/>
        <Anchor>
          <Comment id="{a4d28937-bd63-40fc-8de9-c93d19504668}"/>
        </Anchor>
        <Assign userId="cinderblock63@gmail.com" userName="cinderblock63@gmail.com" userProvider="google-sheets"/>
      </Event>
    </History>
  </Task>
</Tasks>
</file>

<file path=xl/documenttasks/documenttask2.xml><?xml version="1.0" encoding="utf-8"?>
<Tasks xmlns="http://schemas.microsoft.com/office/tasks/2019/documenttasks">
  <Task id="{478dcea5-1961-4341-a262-f97f11f2cb65}">
    <Anchor>
      <Comment id="{68363658-e37e-43bf-ae4a-2e9093af3296}"/>
    </Anchor>
    <History>
      <Event time="2024-01-28T06:29:42.00" id="{9cec396a-f44e-4466-b1ca-cd647aefa45a}">
        <Attribution userId="placeholder@email.com" userName="Yestalgia" userProvider="google-sheets"/>
        <Anchor>
          <Comment id="{68363658-e37e-43bf-ae4a-2e9093af3296}"/>
        </Anchor>
        <Create/>
      </Event>
      <Event time="2024-01-28T06:29:42.00" id="{a9d25fe1-8fbc-4382-8030-b1672bee599e}">
        <Attribution userId="placeholder@email.com" userName="Yestalgia" userProvider="google-sheets"/>
        <Anchor>
          <Comment id="{68363658-e37e-43bf-ae4a-2e9093af3296}"/>
        </Anchor>
        <Assign userId="massimocallegari1979@gmail.com" userName="massimocallegari1979@gmail.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e Vanguard Production" id="{cb3aff84-2cd5-4ce1-82e4-1f9063a67917}" providerId="google-sheets"/>
  <x18tc:person displayName="Shawn Silverman" id="{45f54aa9-09fd-4cc5-995a-e2da98cebd28}" providerId="google-sheets"/>
  <x18tc:person displayName="massimocallegari1979@gmail.com" id="{1a3f3c93-eb12-4341-913f-e20a4a55d542}" userId="massimocallegari1979@gmail.com" providerId="google-sheets"/>
  <x18tc:person displayName="Maxime Peaumier" id="{4f3790e1-f591-484a-8cbc-563df39dceac}" providerId="google-sheets"/>
  <x18tc:person displayName="Colten Nye" id="{8a6389ff-a07d-46e6-8364-25abd914add0}" providerId="google-sheets"/>
  <x18tc:person displayName="ledlight@gmail.com" id="{6ea446cd-7127-4efe-996e-5755cadd7d40}" userId="ledlight@gmail.com" providerId="google-sheets"/>
  <x18tc:person displayName="Carl G" id="{7f40af01-eee9-4898-9a10-885d4497eedf}" providerId="google-sheets"/>
  <x18tc:person displayName="Kevin Walton" id="{aa198c7b-089d-446b-808c-fdb14b8b052d}" providerId="google-sheets"/>
  <x18tc:person displayName="Ted Schundler" id="{b436dd07-117a-4be3-b921-b67f71c06b1c}" providerId="google-sheets"/>
  <x18tc:person displayName="Cameron Tacklind" id="{257ab81f-aa8e-4233-af27-d76b3960adea}" providerId="google-sheets"/>
  <x18tc:person displayName="Jeff Vyduna" id="{7bfd6876-3413-4dbf-9b1f-833392524e7c}" providerId="google-sheets"/>
  <x18tc:person displayName="Adam Aglionby" id="{07293b66-6d4b-4b68-84b1-edf1aef32703}" providerId="google-sheets"/>
  <x18tc:person displayName="cinderblock63@gmail.com" id="{5afd1562-5d70-4330-8ff7-adeab0662766}" userId="cinderblock63@gmail.com" providerId="google-sheets"/>
  <x18tc:person displayName="Louis Beaudoin" id="{c088589d-b479-4d9e-a07a-c28229deb01b}" providerId="google-sheets"/>
  <x18tc:person displayName="Jeff Vyduna" id="{45386c1e-a095-4024-b784-fc75bfd0a5ee}" providerId="google-sheets"/>
  <x18tc:person displayName="Pete Thornbury" id="{bd993240-0293-4cd3-9a1e-68a1087630d7}" providerId="google-sheets"/>
  <x18tc:person displayName="michal rovinsky" id="{f94c2e4c-7dbe-4295-8f6f-fb9efc11f3ef}" providerId="google-sheets"/>
  <x18tc:person displayName="Steve Pomeroy" id="{a70f9714-f7fe-4b72-8cdc-642780faf4fe}" providerId="google-sheets"/>
  <x18tc:person displayName="Christopher Linder" id="{51e25cc5-abf2-4744-9558-d8d8c17656cc}" providerId="google-sheets"/>
  <x18tc:person displayName="Ofer Rossmann" id="{930fa686-4a12-4056-8776-c39808aece7d}" providerId="google-sheets"/>
  <x18tc:person displayName="Robb Pope" id="{8afa2e28-db17-4432-b951-1c821604e4fc}" providerId="google-sheets"/>
  <x18tc:person displayName="Yestalgia" id="{bfa0f03d-a7d0-42ca-912e-44e9adda70cd}" providerId="google-sheets"/>
  <x18tc:person displayName="Eric Forman" id="{d5a122de-e1a4-465d-bd60-f4d1d0ca76ef}" providerId="google-sheets"/>
  <x18tc:person displayName="Niklas Aumüller" id="{8dbe063b-57d1-4bff-8781-1a16f81ab5b0}" providerId="google-sheets"/>
</x18tc:personList>
</file>

<file path=xl/tables/table1.xml><?xml version="1.0" encoding="utf-8"?>
<table xmlns="http://schemas.openxmlformats.org/spreadsheetml/2006/main" totalsRowCount="1" headerRowCount="0" ref="A1:Y43" displayName="Table_1" name="Table_1" id="1">
  <tableColumns count="25">
    <tableColumn totalsRowLabel="FastLED &quot;FX&quot; engine" name="Column1" id="1"/>
    <tableColumn totalsRowLabel="Zach Vorhies" name="Column2" id="2"/>
    <tableColumn totalsRowLabel="Free" name="Column3" id="3"/>
    <tableColumn totalsRowLabel="ESP/AVR/NRF/RP/Browser" name="Column4" id="4"/>
    <tableColumn totalsRowLabel="No" name="Column5" id="5"/>
    <tableColumn totalsRowLabel="Yes" name="Column6" id="6"/>
    <tableColumn totalsRowLabel="Browser wasm Preview"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Pattern Driver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Z37"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Pixel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Y44" displayName="Table_3" name="Table_3" id="3">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Pixel ICs-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J16"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ixel Decoder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J1"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Level Converter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J2" displayName="Table_6" name="Table_6" id="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Level Converters-style 2" showColumnStripes="0" showFirstColumn="1" showLastColumn="1" showRowStripes="1"/>
</table>
</file>

<file path=xl/tables/table7.xml><?xml version="1.0" encoding="utf-8"?>
<table xmlns="http://schemas.openxmlformats.org/spreadsheetml/2006/main" headerRowCount="0" ref="A1:Q49" displayName="Table_7" name="Table_7" id="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Adapter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A1:H31" displayName="Table_8" name="Table_8" id="8">
  <tableColumns count="8">
    <tableColumn name="`" id="1"/>
    <tableColumn name="Developer" id="2"/>
    <tableColumn name="Hardware" id="3"/>
    <tableColumn name="Features" id="4"/>
    <tableColumn name="URL" id="5"/>
    <tableColumn name="YouTube " id="6"/>
    <tableColumn name="Instructional Resources" id="7"/>
    <tableColumn name="Instructional Resources 2" id="8"/>
  </tableColumns>
  <tableStyleInfo name="Drive Libraries-style" showColumnStripes="0" showFirstColumn="1" showLastColumn="1" showRowStripes="1"/>
</table>
</file>

<file path=xl/tables/table9.xml><?xml version="1.0" encoding="utf-8"?>
<table xmlns="http://schemas.openxmlformats.org/spreadsheetml/2006/main" headerRowCount="0" ref="A1:Z40" displayName="Table_9" name="Table_9" id="9">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IY MicroBoards-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AF46" displayName="Table_10" name="Table_10" id="10">
  <tableColumns count="32">
    <tableColumn name="Picture" id="1"/>
    <tableColumn name="Manufacturer" id="2"/>
    <tableColumn name="Link" id="3"/>
    <tableColumn name="Outline" id="4"/>
    <tableColumn name="Max Current" id="5"/>
    <tableColumn name="Max Voltage" id="6"/>
    <tableColumn name="IP Rating" id="7"/>
    <tableColumn name="Locking" id="8"/>
    <tableColumn name="Panelmount" id="9"/>
    <tableColumn name="Wire -To -Wire" id="10"/>
    <tableColumn name="PCB mount" id="11"/>
    <tableColumn name="Smallest Guage" id="12"/>
    <tableColumn name="Largest Guage" id="13"/>
    <tableColumn name="Pitch" id="14"/>
    <tableColumn name="Contact Type" id="15"/>
    <tableColumn name="Solder?" id="16"/>
    <tableColumn name="Screw Terminal?" id="17"/>
    <tableColumn name="Crimp?" id="18"/>
    <tableColumn name="IDC?" id="19"/>
    <tableColumn name="Board Fingers" id="20"/>
    <tableColumn name="Gendered" id="21"/>
    <tableColumn name="Min Pins " id="22"/>
    <tableColumn name="Max Pins" id="23"/>
    <tableColumn name="Rows" id="24"/>
    <tableColumn name="Year Intoduced" id="25"/>
    <tableColumn name="End of Life" id="26"/>
    <tableColumn name="Pinout" id="27"/>
    <tableColumn name="Convention" id="28"/>
    <tableColumn name="Colors" id="29"/>
    <tableColumn name="Digikey" id="30"/>
    <tableColumn name="Mouser" id="31"/>
    <tableColumn name="Notes" id="32"/>
  </tableColumns>
  <tableStyleInfo name="Connectors-style" showColumnStripes="0" showFirstColumn="1" showLastColumn="1" showRowStripes="1"/>
</table>
</file>

<file path=xl/tables/table11.xml><?xml version="1.0" encoding="utf-8"?>
<table xmlns="http://schemas.openxmlformats.org/spreadsheetml/2006/main" headerRowCount="0" ref="A2:O47"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Diffusive Materials-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L20" displayName="Table_12" name="Table_12" id="12">
  <tableColumns count="12">
    <tableColumn name="System" id="1"/>
    <tableColumn name="Manufacturer" id="2"/>
    <tableColumn name="Pixels Per Run " id="3"/>
    <tableColumn name="Dimming Resolution" id="4"/>
    <tableColumn name="Dedicated PSU/control" id="5"/>
    <tableColumn name="RGB/W" id="6"/>
    <tableColumn name="Online Pricing" id="7"/>
    <tableColumn name="Price Range" id="8"/>
    <tableColumn name="Core Tech" id="9"/>
    <tableColumn name="Since" id="10"/>
    <tableColumn name="Target Market" id="11"/>
    <tableColumn name="NOTES" id="12"/>
  </tableColumns>
  <tableStyleInfo name=" Commercial Pixel Syste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7" dT="2022-02-23T22:25:52.00" personId="{4f3790e1-f591-484a-8cbc-563df39dceac}" id="{c6ea69c7-d70f-4fe3-b3ac-e65c29a5fcc2}" done="0">
    <x18tc:text xml:space="preserve">could we organise some sort of drive storage of the images linked in the lines ? 
some are not accessible due to world zone or outdated</x18tc:text>
  </x18tc:threadedComment>
  <x18tc:threadedComment ref="A37" dT="2022-02-23T22:36:05.00" personId="{257ab81f-aa8e-4233-af27-d76b3960adea}" id="{6e03f8f6-e31f-4acb-9dcb-c4e83a649b1d}" parentId="{c6ea69c7-d70f-4fe3-b3ac-e65c29a5fcc2}">
    <x18tc:text xml:space="preserve">Good point. I don't have a preference. I'd be fine with this. Something like imgbb should work fine, no?</x18tc:text>
  </x18tc:threadedComment>
  <x18tc:threadedComment ref="A37" dT="2022-02-23T23:24:18.00" personId="{4f3790e1-f591-484a-8cbc-563df39dceac}" id="{6baf3956-c09f-4502-a29c-49815d81db1a}" parentId="{c6ea69c7-d70f-4fe3-b3ac-e65c29a5fcc2}">
    <x18tc:text xml:space="preserve">yes whatever the platform really. as long it is not website /manufacturer related it is fine. 
If people can also upload it and edit it would be a plus ;) 
awesome ressource already btw !</x18tc:text>
  </x18tc:threadedComment>
  <x18tc:threadedComment ref="A37" dT="2022-02-23T23:48:24.00" personId="{257ab81f-aa8e-4233-af27-d76b3960adea}" id="{907f6b25-5ef2-4233-b24f-942b760e3d69}" parentId="{c6ea69c7-d70f-4fe3-b3ac-e65c29a5fcc2}">
    <x18tc:text xml:space="preserve">Why is mfg related a problem?</x18tc:text>
  </x18tc:threadedComment>
  <x18tc:threadedComment ref="A37" dT="2022-02-24T00:07:18.00" personId="{4f3790e1-f591-484a-8cbc-563df39dceac}" id="{14444469-d0bd-4222-bec0-06d6e4606935}" parentId="{c6ea69c7-d70f-4fe3-b3ac-e65c29a5fcc2}">
    <x18tc:text xml:space="preserve">cause some website went offline/deleted or areas where the pics were moved so links are not accessibles sometimes</x18tc:text>
  </x18tc:threadedComment>
  <x18tc:threadedComment ref="A37" dT="2022-04-10T04:09:42.00" personId="{257ab81f-aa8e-4233-af27-d76b3960adea}" id="{e59a46db-5b07-4d82-8423-663f35845e39}" parentId="{c6ea69c7-d70f-4fe3-b3ac-e65c29a5fcc2}">
    <x18tc:text xml:space="preserve">Gotcha... yeah. double edged sword. But I tend to agree, it should be our own host.</x18tc:text>
  </x18tc:threadedComment>
  <x18tc:threadedComment ref="A1" dT="2025-05-14T18:24:58.00" personId="{8a6389ff-a07d-46e6-8364-25abd914add0}" id="{2f0705ba-2753-4ee0-b66d-610ff7884eea}" done="1">
    <x18tc:text xml:space="preserve">Page not found</x18tc:text>
  </x18tc:threadedComment>
  <x18tc:threadedComment ref="A1" dT="2022-04-10T00:22:22.00" personId="{07293b66-6d4b-4b68-84b1-edf1aef32703}" id="{a4d28937-bd63-40fc-8de9-c93d19504668}" done="1">
    <x18tc:text xml:space="preserve">@cinderblock63@gmail.com looks like a bad edit on controllers tab, not sure its a filter this time
Assigned to cinderblock63@gmail.com</x18tc:text>
    <x18tc:mentions>
      <x18tc:mention mentionpersonId="{5afd1562-5d70-4330-8ff7-adeab0662766}" mentionId="{072710a4-d6dd-4ee4-b868-202720aa52c0}" startIndex="0" length="24"/>
    </x18tc:mentions>
  </x18tc:threadedComment>
  <x18tc:threadedComment ref="A1" dT="2022-04-10T04:05:14.00" personId="{257ab81f-aa8e-4233-af27-d76b3960adea}" id="{aabce33c-6670-44ba-b90a-cb830b55bdbe}" parentId="{a4d28937-bd63-40fc-8de9-c93d19504668}">
    <x18tc:text xml:space="preserve">Hmmm. I'm not seeing what you're referring to. What am I missing?</x18tc:text>
  </x18tc:threadedComment>
  <x18tc:threadedComment ref="A1" dT="2022-04-10T04:21:03.00" personId="{257ab81f-aa8e-4233-af27-d76b3960adea}" id="{03a5c1f8-21d3-4575-8377-835567f32650}" parentId="{a4d28937-bd63-40fc-8de9-c93d19504668}">
    <x18tc:text xml:space="preserve">It looks like it was a weird filter on the "Standalone" column</x18tc:text>
  </x18tc:threadedComment>
  <x18tc:threadedComment ref="A1" dT="2022-04-12T23:02:58.00" personId="{07293b66-6d4b-4b68-84b1-edf1aef32703}" id="{ce6ead41-16c1-4e25-ac56-50c6951cef5c}" parentId="{a4d28937-bd63-40fc-8de9-c93d19504668}">
    <x18tc:text xml:space="preserve">Thanks Cameron, struggling to understand the filters .
Any preference on image hosting sites?</x18tc:text>
  </x18tc:threadedComment>
  <x18tc:threadedComment ref="A1" dT="2022-04-13T00:00:08.00" personId="{257ab81f-aa8e-4233-af27-d76b3960adea}" id="{6b9b9c6a-a247-4206-b9c5-82774e69f834}" parentId="{a4d28937-bd63-40fc-8de9-c93d19504668}">
    <x18tc:text xml:space="preserve">Yeah, the filters are a slight problem here. They're shared between all people viewing. I don't see how I could disable filters or make them "per-user".
I don't have a strong preference. Something establish that it's going away would be nice. Eventually it would be awesome to actually build a site to host all of this instead of relying on Sheets.</x18tc:text>
  </x18tc:threadedComment>
  <x18tc:threadedComment ref="A1" dT="2024-01-26T20:01:30.00" personId="{cb3aff84-2cd5-4ce1-82e4-1f9063a67917}" id="{45ee1db3-734d-404e-8e2d-775cbf8a4629}" done="1">
    <x18tc:text xml:space="preserve">What is this and why/how did i get added to this?</x18tc:text>
  </x18tc:threadedComment>
  <x18tc:threadedComment ref="A1" dT="2020-08-09T14:51:58.00" personId="{07293b66-6d4b-4b68-84b1-edf1aef32703}" id="{2adbc342-0cf4-4e16-a561-ebea7dda8a0e}" done="1">
    <x18tc:text xml:space="preserve">Mebbe worth adding more of index on Readme tab, not obvious that there is more tabs available by scrolling</x18tc:text>
  </x18tc:threadedComment>
  <x18tc:threadedComment ref="A1" dT="2019-11-19T21:32:22.00" personId="{257ab81f-aa8e-4233-af27-d76b3960adea}" id="{5af398fe-5646-4f11-908b-ed49cc9b5d15}" done="0">
    <x18tc:text xml:space="preserve">I'm trying to add a column to distinguish general purpose microcontrollers from pixel controllers. Theoretically, basically any microprocessor board could be listed here. We've got Teensy (and a couple others) for instance. Other "controllers" here require special host side software to actually make them work. What makes sense here?</x18tc:text>
  </x18tc:threadedComment>
  <x18tc:threadedComment ref="A1" dT="2019-12-14T00:06:38.00" personId="{257ab81f-aa8e-4233-af27-d76b3960adea}" id="{6577db79-2667-434c-854c-95102d7de18a}" done="1">
    <x18tc:text xml:space="preserve">Guess from google trends</x18tc:text>
  </x18tc:threadedComment>
  <x18tc:threadedComment ref="A1" dT="2020-04-30T04:53:16.00" personId="{8afa2e28-db17-4432-b951-1c821604e4fc}" id="{fc36c971-a52f-4d77-80c8-822e34cae8be}" done="1">
    <x18tc:text xml:space="preserve">What does this mean?  Someone define this with a note or something</x18tc:text>
  </x18tc:threadedComment>
  <x18tc:threadedComment ref="A1" dT="2020-04-30T05:04:01.00" personId="{257ab81f-aa8e-4233-af27-d76b3960adea}" id="{0e0f55ad-1448-423d-9ce1-75f82cbf2e3c}" parentId="{fc36c971-a52f-4d77-80c8-822e34cae8be}">
    <x18tc:text xml:space="preserve">Good question. I added this thinking about how LX Studio is a full featured programming language that allows you to have literally full control over everything. While it helps you do the math, you can do literally anything you want. For instance, non-standard color spaces or having weird custom inputs and outputs (this is how we encoded motor commands into DMX for RadiaLumia).
I see that because this column was poorly defined, it's been interpreted differently.
I think it's important to distinguish between these feature sets of these drivers. For instance, the simplest "drivers" might only have a few canned patterns. Slightly more complicated ones might be able to take audio in, but only allow you to change outputs based on certain pre-programmed/pre-provided functions.
I'm not intimately familiar with what all is available these days. If you'd like to take charge on fixing/making a new column to convey this information, I'm happy to support it however I can.
If we want to just delete this confusing column, that's fine by me too.</x18tc:text>
  </x18tc:threadedComment>
  <x18tc:threadedComment ref="A1" dT="2020-04-30T05:48:22.00" personId="{8afa2e28-db17-4432-b951-1c821604e4fc}" id="{344bf36d-34bf-45fd-8271-993700e395e8}" parentId="{fc36c971-a52f-4d77-80c8-822e34cae8be}">
    <x18tc:text xml:space="preserve">no, I think it's a good differentiator, however I think that it's going to be up to the individual's interpretation.  Like "control level" is def a gradiant scale (with a straight up programming language or Touch Designer on one end, and something like Phillips Hue on the other).  You've got a lot in the middle, like Resolume and Madrix, which I would have a hard time considering "Full" but are def not basic either.  Maybe a 1 to 10 scale?  Again tho, seems like it will be very much the interpretation of the user</x18tc:text>
  </x18tc:threadedComment>
  <x18tc:threadedComment ref="A1" dT="2020-04-30T05:59:48.00" personId="{257ab81f-aa8e-4233-af27-d76b3960adea}" id="{dfabe329-a4a2-4fc8-b94b-450f94e25b42}" parentId="{fc36c971-a52f-4d77-80c8-822e34cae8be}">
    <x18tc:text xml:space="preserve">Yeah. I'm not sure how best to "categorize" the types. A 0-10 level could work but seems very subjective. Maybe we could try making up a few categories of our own? There will still probably be some level of subjectivity but, we can try to not? Give each of these some attempt at a definition.
Maybe:
Trivial - Pre programmed routines, maybe with a toggle.
Basic - Hue lights-ish level of control
Mapping - Pixel mapping, simple to complex. Pre-made transforms. Limits on programming API (like reading from arbitrary device drivers)
Complete - Full unlimited programmatic control</x18tc:text>
  </x18tc:threadedComment>
  <x18tc:threadedComment ref="A1" dT="2020-04-30T06:02:40.00" personId="{257ab81f-aa8e-4233-af27-d76b3960adea}" id="{dc915466-b7ef-43d8-84d1-32b76bf2076a}" parentId="{fc36c971-a52f-4d77-80c8-822e34cae8be}">
    <x18tc:text xml:space="preserve">I'm not sure if "audio" based drivers need a special category.
Same for ones that allow inputs from GPIO/serial/ArtNet etc.</x18tc:text>
  </x18tc:threadedComment>
  <x18tc:threadedComment ref="A14" dT="2020-01-24T19:23:52.00" personId="{45f54aa9-09fd-4cc5-995a-e2da98cebd28}" id="{c7fb2989-3a7c-4d00-a4c2-1dde978268d2}" done="1">
    <x18tc:text xml:space="preserve">Spelling</x18tc:text>
  </x18tc:threadedComment>
  <x18tc:threadedComment ref="A16" dT="2020-01-29T22:44:29.00" personId="{257ab81f-aa8e-4233-af27-d76b3960adea}" id="{ddbd3dbc-ee8d-4d8e-ad7f-97eea5270c4b}" done="1">
    <x18tc:text xml:space="preserve">Apparently I accidentally locked the other tabs from editing the other day. The lock has been removed. Thank you to those that reached out to me.</x18tc:text>
  </x18tc:threadedComment>
  <x18tc:threadedComment ref="A1" dT="2020-11-23T22:02:38.00" personId="{257ab81f-aa8e-4233-af27-d76b3960adea}" id="{ffcf1990-91b8-48dd-8bf1-c9fb0a30b5a0}" done="1">
    <x18tc:text xml:space="preserve">Can we fill this column out? Does it make sense?</x18tc:text>
  </x18tc:threadedComment>
  <x18tc:threadedComment ref="A1" dT="2020-12-04T15:49:47.00" personId="{07293b66-6d4b-4b68-84b1-edf1aef32703}" id="{1111f14f-b12c-42e7-982e-dbc04dad855c}" parentId="{ffcf1990-91b8-48dd-8bf1-c9fb0a30b5a0}">
    <x18tc:text xml:space="preserve">dosen`t make sense RGB white be luckly to get over 70, evenwith white touching 80 is probably a  challenge.</x18tc:text>
  </x18tc:threadedComment>
  <x18tc:threadedComment ref="A1" dT="2020-12-04T23:52:43.00" personId="{257ab81f-aa8e-4233-af27-d76b3960adea}" id="{f1b243da-0734-43d1-8b08-87f5c8ab23f2}" parentId="{ffcf1990-91b8-48dd-8bf1-c9fb0a30b5a0}">
    <x18tc:text xml:space="preserve">Yeah, that's what I was worried about</x18tc:text>
  </x18tc:threadedComment>
  <x18tc:threadedComment ref="A1" dT="2020-01-23T08:24:45.00" personId="{257ab81f-aa8e-4233-af27-d76b3960adea}" id="{ab63a65f-802a-4287-8110-d76d78a8f012}" done="1">
    <x18tc:text xml:space="preserve">Anyone got a suggestion for what to call this new category? Protocol Decoders? Pixel Emulators? Looking for a name that isn't ambiguous.</x18tc:text>
  </x18tc:threadedComment>
  <x18tc:threadedComment ref="A1" dT="2020-11-06T16:31:54.00" personId="{a70f9714-f7fe-4b72-8cdc-642780faf4fe}" id="{2faf81fd-6eb3-46bd-9426-7eb20f4f5938}" done="1">
    <x18tc:text xml:space="preserve">Should this column be renamed "Status"?</x18tc:text>
  </x18tc:threadedComment>
  <x18tc:threadedComment ref="A1" dT="2020-04-25T01:12:31.00" personId="{8afa2e28-db17-4432-b951-1c821604e4fc}" id="{e8e172df-38be-4c97-8bd8-97bbad43431c}" done="1">
    <x18tc:text xml:space="preserve">failover wire allows a pixel to fail and the data signal to continue down the chain</x18tc:text>
  </x18tc:threadedComment>
  <x18tc:threadedComment ref="A1" dT="2020-04-25T22:01:14.00" personId="{257ab81f-aa8e-4233-af27-d76b3960adea}" id="{bff5bc9e-e52b-47a1-8430-e2b665143342}" parentId="{e8e172df-38be-4c97-8bd8-97bbad43431c}">
    <x18tc:text xml:space="preserve">See "Backup Data Line" column</x18tc:text>
  </x18tc:threadedComment>
  <x18tc:threadedComment ref="B6" dT="2023-08-11T07:26:26.00" personId="{930fa686-4a12-4056-8776-c39808aece7d}" id="{9019a217-571d-4105-9813-90c0f59ccfc5}" done="1">
    <x18tc:text xml:space="preserve">Should</x18tc:text>
  </x18tc:threadedComment>
  <x18tc:threadedComment ref="A50" dT="2019-11-19T21:16:02.00" personId="{257ab81f-aa8e-4233-af27-d76b3960adea}" id="{3804f315-c5e4-460c-b23e-25911570cf74}" done="0">
    <x18tc:text xml:space="preserve">We can use this method to work through issues and eventually "resolve" them! :D</x18tc:text>
  </x18tc:threadedComment>
  <x18tc:threadedComment ref="A15" dT="2020-08-14T11:58:13.00" personId="{c088589d-b479-4d9e-a07a-c28229deb01b}" id="{b49d9ecf-3a35-44b7-9118-0349e0999104}" done="1">
    <x18tc:text xml:space="preserve">edittable -&gt; editable</x18tc:text>
  </x18tc:threadedComment>
  <x18tc:threadedComment ref="A15" dT="2020-08-14T11:58:52.00" personId="{c088589d-b479-4d9e-a07a-c28229deb01b}" id="{0e3e8f80-cf83-49e3-b23b-477fa6bfd4b0}" parentId="{b49d9ecf-3a35-44b7-9118-0349e0999104}">
    <x18tc:text xml:space="preserve">Also ironic that the "This document is editable" text is on a sheet that isn't editable :-)</x18tc:text>
  </x18tc:threadedComment>
  <x18tc:threadedComment ref="A15" dT="2020-08-14T11:59:29.00" personId="{c088589d-b479-4d9e-a07a-c28229deb01b}" id="{a45c75c1-8333-4da8-b825-75aa9f1e039e}" parentId="{b49d9ecf-3a35-44b7-9118-0349e0999104}">
    <x18tc:text xml:space="preserve">Also while I'm here, this document is fantastic!  Thanks for putting it together.</x18tc:text>
  </x18tc:threadedComment>
  <x18tc:threadedComment ref="A15" dT="2020-08-14T18:04:17.00" personId="{257ab81f-aa8e-4233-af27-d76b3960adea}" id="{78292635-d71c-46c8-a9f0-314b681e10da}" parentId="{b49d9ecf-3a35-44b7-9118-0349e0999104}">
    <x18tc:text xml:space="preserve">Ha! Nice catch. Thanks!</x18tc:text>
  </x18tc:threadedComment>
  <x18tc:threadedComment ref="A22" dT="2023-09-03T10:59:57.00" personId="{bd993240-0293-4cd3-9a1e-68a1087630d7}" id="{64119881-31c6-49de-9468-5366c411a5da}" done="1">
    <x18tc:text xml:space="preserve">maybe just call it "Software"?</x18tc:text>
  </x18tc:threadedComment>
  <x18tc:threadedComment ref="A22" dT="2024-01-12T23:39:09.00" personId="{257ab81f-aa8e-4233-af27-d76b3960adea}" id="{f099af4a-dd93-4130-88ec-1a3b4447dec8}" parentId="{64119881-31c6-49de-9468-5366c411a5da}">
    <x18tc:text xml:space="preserve">I wanted something a little more specific than that. We have some other categories that could be under "software".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0" dT="2024-05-07T12:02:56.00" personId="{f94c2e4c-7dbe-4295-8f6f-fb9efc11f3ef}" id="{16283b41-b3f2-4589-b19b-4bdd13795735}" done="0">
    <x18tc:text xml:space="preserve">ArtNet license pricing - https://www.ledstripstudio.com/lssartnet/?
Free for LSS controllers - Lifetime and 1year for ArtNet</x18tc:text>
    <x18tc:extLst>
      <ext uri="{F7C98A9C-CBB3-438F-8F68-D28B6AF4A901}">
        <xltc2:checksum/>
        <xltc2:hyperlink startIndex="25" length="41" url="https://www.ledstripstudio.com/lssartnet/"/>
      </ext>
    </x18tc:extLst>
  </x18tc:threadedComment>
  <x18tc:threadedComment ref="E1" dT="2019-11-21T08:30:15.00" personId="{257ab81f-aa8e-4233-af27-d76b3960adea}" id="{7bb8e48b-ab8d-4ac8-8a3a-2b702302ade2}" done="1">
    <x18tc:text xml:space="preserve">Do these columns make sense?</x18tc:text>
  </x18tc:threadedComment>
  <x18tc:threadedComment ref="C1" dT="2019-11-19T20:42:27.00" personId="{257ab81f-aa8e-4233-af27-d76b3960adea}" id="{a60c78c2-e82c-4bd6-ae48-4053246132eb}" done="1">
    <x18tc:text xml:space="preserve">Looks like this column isn't working very well. Most products have different free/paid tiers with vastly different limitations.</x18tc:text>
  </x18tc:threadedComment>
  <x18tc:threadedComment ref="Y24" dT="2020-10-15T19:19:08.00" personId="{7bfd6876-3413-4dbf-9b1f-833392524e7c}" id="{92cede6f-e01e-4fef-9f86-8808f85244e6}" done="1">
    <x18tc:text xml:space="preserve">@cinderblock63@gmail.com Thoughts?</x18tc:text>
    <x18tc:mentions>
      <x18tc:mention mentionpersonId="{5afd1562-5d70-4330-8ff7-adeab0662766}" mentionId="{18b2b4d2-36c5-4db5-ab33-50e814ccd329}" startIndex="0" length="24"/>
    </x18tc:mentions>
  </x18tc:threadedComment>
  <x18tc:threadedComment ref="Y24" dT="2020-10-16T19:33:25.00" personId="{257ab81f-aa8e-4233-af27-d76b3960adea}" id="{326378aa-cee5-48a2-b84d-bca7530d12d0}" parentId="{92cede6f-e01e-4fef-9f86-8808f85244e6}">
    <x18tc:text xml:space="preserve">I don't like this. We should add a column instead of reusing an old on. Maybe an "availability" column? Maybe towards the left?</x18tc:text>
  </x18tc:threadedComment>
  <x18tc:threadedComment ref="Y24" dT="2020-10-16T20:19:00.00" personId="{7bfd6876-3413-4dbf-9b1f-833392524e7c}" id="{501fd77e-1950-4c67-8954-0a8e92d164af}" parentId="{92cede6f-e01e-4fef-9f86-8808f85244e6}">
    <x18tc:text xml:space="preserve">I will revert. I find no value in active, dead links but don't care enough either way.  You can expand the columns so we can track all not-available options.</x18tc:text>
  </x18tc:threadedComment>
  <x18tc:threadedComment ref="A24" dT="2023-09-17T13:22:11.00" personId="{8dbe063b-57d1-4bff-8781-1a16f81ab5b0}" id="{9099cf5c-6267-499d-9d44-bf8a96ae3725}" done="1">
    <x18tc:text xml:space="preserve">2023-09-17: Website not reachable</x18tc:text>
  </x18tc:threadedComment>
  <x18tc:threadedComment ref="A24" dT="2023-09-25T19:23:33.00" personId="{07293b66-6d4b-4b68-84b1-edf1aef32703}" id="{27ad43fe-e4c1-400d-8f21-8ce3d079aa2b}" parentId="{9099cf5c-6267-499d-9d44-bf8a96ae3725}">
    <x18tc:text xml:space="preserve">discontinued see status column
Marked as resolved</x18tc:text>
  </x18tc:threadedComment>
  <x18tc:threadedComment ref="A26" dT="2023-09-17T13:22:23.00" personId="{8dbe063b-57d1-4bff-8781-1a16f81ab5b0}" id="{574fe080-5971-4f3a-af67-63f392168d74}" done="1">
    <x18tc:text xml:space="preserve">2023-09-17: Website not reachable</x18tc:text>
  </x18tc:threadedComment>
  <x18tc:threadedComment ref="A26" dT="2023-09-25T19:22:57.00" personId="{07293b66-6d4b-4b68-84b1-edf1aef32703}" id="{1246b9e8-5828-4258-959b-161f5e579188}" parentId="{574fe080-5971-4f3a-af67-63f392168d74}">
    <x18tc:text xml:space="preserve">discontinued see status column</x18tc:text>
  </x18tc:threadedComment>
  <x18tc:threadedComment ref="A36" dT="2024-01-28T06:29:42.00" personId="{bfa0f03d-a7d0-42ca-912e-44e9adda70cd}" id="{68363658-e37e-43bf-ae4a-2e9093af3296}" done="0">
    <x18tc:text xml:space="preserve">@massimocallegari1979@gmail.com can you please check this line to make sure it's accurate?
Assigned to massimocallegari1979@gmail.com</x18tc:text>
    <x18tc:mentions>
      <x18tc:mention mentionpersonId="{1a3f3c93-eb12-4341-913f-e20a4a55d542}" mentionId="{c0183aa0-dcbc-4e8c-84d3-80c6226a28d3}" startIndex="0" length="31"/>
    </x18tc:mentions>
  </x18tc:threadedComment>
  <x18tc:threadedComment ref="A24" dT="2020-10-15T16:05:20.00" personId="{7bfd6876-3413-4dbf-9b1f-833392524e7c}" id="{286bd9ce-5ed5-48d1-9f24-f93020051248}" done="1">
    <x18tc:text xml:space="preserve">I believe RocketLife is not available any more - should it be removed?</x18tc:text>
  </x18tc:threadedComment>
  <x18tc:threadedComment ref="A24" dT="2020-10-15T17:58:20.00" personId="{257ab81f-aa8e-4233-af27-d76b3960adea}" id="{2683aca5-3ed7-4f1c-99a7-cb98d7c8e155}" parentId="{286bd9ce-5ed5-48d1-9f24-f93020051248}">
    <x18tc:text xml:space="preserve">I don't think anything should be removed. Maybe italic? Maybe also a discontinued date?</x18tc:text>
  </x18tc:threadedComment>
  <x18tc:threadedComment ref="A24" dT="2020-10-15T19:17:12.00" personId="{7bfd6876-3413-4dbf-9b1f-833392524e7c}" id="{bbf44a13-1463-4c1d-bf73-eb416a6f62e0}" parentId="{286bd9ce-5ed5-48d1-9f24-f93020051248}">
    <x18tc:text xml:space="preserve">Sounds good to me.
Marked as resolved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3" dT="2025-07-11T17:20:19.00" personId="{d5a122de-e1a4-465d-bd60-f4d1d0ca76ef}" id="{6d149c2f-eabb-4032-b488-e025977c5559}" done="0">
    <x18tc:text xml:space="preserve">requires RPi</x18tc:text>
  </x18tc:threadedComment>
  <x18tc:threadedComment ref="G63" dT="2025-07-11T17:20:14.00" personId="{d5a122de-e1a4-465d-bd60-f4d1d0ca76ef}" id="{7962adff-899f-4a80-8261-686e88d5ca68}" done="0">
    <x18tc:text xml:space="preserve">requires RPi</x18tc:text>
  </x18tc:threadedComment>
  <x18tc:threadedComment ref="F43" dT="2021-01-14T16:48:10.00" personId="{8dbe063b-57d1-4bff-8781-1a16f81ab5b0}" id="{df326e53-20a3-4113-98bf-85427f82691b}" done="1">
    <x18tc:text xml:space="preserve">this interface uses Artnet (Ethernet) as input, not USB</x18tc:text>
  </x18tc:threadedComment>
  <x18tc:threadedComment ref="F43" dT="2021-01-14T21:11:36.00" personId="{257ab81f-aa8e-4233-af27-d76b3960adea}" id="{8b6240c4-5ca9-41c3-8c27-0ed7de31c21b}" parentId="{df326e53-20a3-4113-98bf-85427f82691b}">
    <x18tc:text xml:space="preserve">You should fix it! :)</x18tc:text>
  </x18tc:threadedComment>
  <x18tc:threadedComment ref="A32" dT="2019-11-10T03:02:06.00" personId="{257ab81f-aa8e-4233-af27-d76b3960adea}" id="{6100494c-83d5-47b7-bb0d-2f5fabef0e81}" done="1">
    <x18tc:text xml:space="preserve">Why is this cell colored?</x18tc:text>
  </x18tc:threadedComment>
  <x18tc:threadedComment ref="A4" dT="2024-01-28T21:27:51.00" personId="{257ab81f-aa8e-4233-af27-d76b3960adea}" id="{0ef799da-afef-407d-9601-97df6cbb104f}" done="0">
    <x18tc:text xml:space="preserve">Is this accurate? Was MK2</x18tc:text>
  </x18tc:threadedComment>
  <x18tc:threadedComment ref="I29" dT="2019-11-19T21:25:09.00" personId="{257ab81f-aa8e-4233-af27-d76b3960adea}" id="{290b984e-e819-4d71-bca8-d8e5f0e68acd}" done="1">
    <x18tc:text xml:space="preserve">I'd like to be a little more specific than this :)</x18tc:text>
  </x18tc:threadedComment>
  <x18tc:threadedComment ref="G49" dT="2023-09-12T10:19:36.00" personId="{bfa0f03d-a7d0-42ca-912e-44e9adda70cd}" id="{56766ab1-d03b-4f49-8071-10a955c17f0f}" done="0">
    <x18tc:text xml:space="preserve">Not removable</x18tc:text>
  </x18tc:threadedComment>
  <x18tc:threadedComment ref="I30" dT="2019-11-19T21:24:44.00" personId="{257ab81f-aa8e-4233-af27-d76b3960adea}" id="{a0e7ee5c-f33f-4655-8a67-535cd9cf46a0}" done="1">
    <x18tc:text xml:space="preserve">Shouldn't this be "Async" to match the other controllers that have similar outputs? Is there a better word to describe this type of non-clocked output (WS2812 like)</x18tc:text>
  </x18tc:threadedComment>
  <x18tc:threadedComment ref="C49" dT="2023-09-12T10:18:35.00" personId="{bfa0f03d-a7d0-42ca-912e-44e9adda70cd}" id="{266a9cc4-dad8-47c0-be86-930a7ea7839e}" done="1">
    <x18tc:text xml:space="preserve">RGB (8-bit): 340
RGBW (8-Bit): 256
--------------------
RGB (16-bit)	170
RGBW (16-bit)	128</x18tc:text>
  </x18tc:threadedComment>
  <x18tc:threadedComment ref="U3" dT="2021-09-03T20:04:11.00" personId="{7bfd6876-3413-4dbf-9b1f-833392524e7c}" id="{dd19c414-3425-4a3b-9f9a-069338792558}" done="1">
    <x18tc:text xml:space="preserve">This is a very popular platform, so I’d appreciate a moderator looking at my edit here. I am uncertain whether the recent commit to the README by the maintainer, Scanlime, means we should not expect continued support after Adafruit sells current inventory. If I were consuming this list and deciding on a platform for the future, I’d want to know about potential instability for procuring reserve boards, etc.</x18tc:text>
  </x18tc:threadedComment>
  <x18tc:threadedComment ref="U3" dT="2021-09-03T20:08:48.00" personId="{257ab81f-aa8e-4233-af27-d76b3960adea}" id="{2caa791f-2d36-4e10-a30b-93c90a915b6c}" parentId="{dd19c414-3425-4a3b-9f9a-069338792558}">
    <x18tc:text xml:space="preserve">The whole point of this column is to do exactly that. If this product is EOL, it should be marked as such.
I think it would be prudent to add a link to the announcement by Scanlime.</x18tc:text>
  </x18tc:threadedComment>
  <x18tc:threadedComment ref="U3" dT="2021-09-03T21:29:48.00" personId="{7bfd6876-3413-4dbf-9b1f-833392524e7c}" id="{5ee2d28b-7cad-4a39-aeba-db887bfe9d5e}" parentId="{dd19c414-3425-4a3b-9f9a-069338792558}">
    <x18tc:text xml:space="preserve">Sounds good. Link to current README added to "Notes" column. Here is a specific link to the commit in case people in the future are looking for context.
https://github.com/scanlime/fadecandy/commit/82ca2b12f177cbbfbd305d349fa9754635b197b7</x18tc:text>
    <x18tc:extLst>
      <ext uri="{F7C98A9C-CBB3-438F-8F68-D28B6AF4A901}">
        <xltc2:checksum/>
        <xltc2:hyperlink startIndex="154" length="85" url="https://github.com/scanlime/fadecandy/commit/82ca2b12f177cbbfbd305d349fa9754635b197b7"/>
      </ext>
    </x18tc:extLst>
  </x18tc:threadedComment>
  <x18tc:threadedComment ref="I124" dT="2021-01-14T16:56:59.00" personId="{8dbe063b-57d1-4bff-8781-1a16f81ab5b0}" id="{3f4344bd-0c0b-45cd-b31b-50864cfc8667}" done="1">
    <x18tc:text xml:space="preserve">for data &amp; clock type LEDs only 4 of the 8 outputs are available</x18tc:text>
  </x18tc:threadedComment>
  <x18tc:threadedComment ref="I124" dT="2021-01-14T21:12:26.00" personId="{257ab81f-aa8e-4233-af27-d76b3960adea}" id="{f39fa845-ae2e-46ff-bab6-0b9eb77e604e}" parentId="{3f4344bd-0c0b-45cd-b31b-50864cfc8667}">
    <x18tc:text xml:space="preserve">I would add this as a "Note" so that it sticks around, not a "Comment" that can be "resolved".</x18tc:text>
  </x18tc:threadedComment>
  <x18tc:threadedComment ref="D77" dT="2024-01-28T01:45:53.00" personId="{257ab81f-aa8e-4233-af27-d76b3960adea}" id="{a52c0981-4d62-419d-881f-35774d5dc5ab}" done="1">
    <x18tc:text xml:space="preserve">625 (1024px)
950 (2048px)
1250 (4096px)
Lifetime SW license included</x18tc:text>
  </x18tc:threadedComment>
  <x18tc:threadedComment ref="C102" dT="2020-08-10T14:17:27.00" personId="{07293b66-6d4b-4b68-84b1-edf1aef32703}" id="{d16492ee-f519-4779-83af-c514fa52d0fd}" done="1">
    <x18tc:text xml:space="preserve">1 decoder and 2 satellites with 4 600 RGB LED ouputs requires to acheive total</x18tc:text>
  </x18tc:threadedComment>
  <x18tc:threadedComment ref="K132" dT="2019-11-07T22:41:07.00" personId="{257ab81f-aa8e-4233-af27-d76b3960adea}" id="{fb330e57-0f13-45dd-a33b-b9d2305c0b0b}" done="1">
    <x18tc:text xml:space="preserve">Can someone confirm this? 5A fuse + 2A fuse in docs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4" dT="2021-03-18T00:27:21.00" personId="{a70f9714-f7fe-4b72-8cdc-642780faf4fe}" id="{aeda9538-6efd-40d5-8f57-f11c97dc3859}" done="1">
    <x18tc:text xml:space="preserve">Not sure if that's what the datasheet was claiming</x18tc:text>
  </x18tc:threadedComment>
  <x18tc:threadedComment ref="A13" dT="2020-11-23T22:01:28.00" personId="{257ab81f-aa8e-4233-af27-d76b3960adea}" id="{1cbc0b26-6cd3-47a2-9963-375f11d4ba3d}" done="1">
    <x18tc:text xml:space="preserve">I'm thinking about adding mode lines for all the variants: B,C,E &amp; the -2020 size versions. Any thoughts?</x18tc:text>
  </x18tc:threadedComment>
  <x18tc:threadedComment ref="A13" dT="2020-12-13T14:36:40.00" personId="{aa198c7b-089d-446b-808c-fdb14b8b052d}" id="{179b0a9b-970c-44e0-b6b2-e0171195505e}" parentId="{1cbc0b26-6cd3-47a2-9963-375f11d4ba3d}">
    <x18tc:text xml:space="preserve">Seems like a good plan</x18tc:text>
  </x18tc:threadedComment>
  <x18tc:threadedComment ref="A1" dT="2020-08-24T12:49:20.00" personId="{07293b66-6d4b-4b68-84b1-edf1aef32703}" id="{0bd61d81-146b-4d10-8a15-17fba7f250ef}" done="1">
    <x18tc:text xml:space="preserve">Could do with a snappier URL, will sponsor a domain if can agree a name 
 www.tacklindlist.info?</x18tc:text>
    <x18tc:extLst>
      <ext uri="{F7C98A9C-CBB3-438F-8F68-D28B6AF4A901}">
        <xltc2:checksum/>
        <xltc2:hyperlink startIndex="74" length="21" url="http://www.tacklindlist.info"/>
      </ext>
    </x18tc:extLst>
  </x18tc:threadedComment>
  <x18tc:threadedComment ref="A1" dT="2020-09-23T12:31:52.00" personId="{c088589d-b479-4d9e-a07a-c28229deb01b}" id="{7c981f5c-6ca0-452a-9ae0-70d39444c288}" parentId="{0bd61d81-146b-4d10-8a15-17fba7f250ef}">
    <x18tc:text xml:space="preserve">Good idea, I keep having to search for the URL if I don't have it bookmarked in the browser I'm using.  Here's a quick solution: tiny.cc/awesomesheet</x18tc:text>
    <x18tc:extLst>
      <ext uri="{F7C98A9C-CBB3-438F-8F68-D28B6AF4A901}">
        <xltc2:checksum/>
        <xltc2:hyperlink startIndex="129" length="20" url="http://tiny.cc/awesomesheet"/>
      </ext>
    </x18tc:extLst>
  </x18tc:threadedComment>
  <x18tc:threadedComment ref="A1" dT="2020-10-09T22:25:26.00" personId="{257ab81f-aa8e-4233-af27-d76b3960adea}" id="{5b56b900-4a2f-4102-a64c-f2c1ad5a02de}" parentId="{0bd61d81-146b-4d10-8a15-17fba7f250ef}">
    <x18tc:text xml:space="preserve">I'd be happy to buy a domain for this. I have a couple other community lists like this (but this is the most active) that could use a home too. Domains I own right now that could make sense with subdomains: tacklind.com (personal/business domain), arbitraryshit.com (needed to fix the internet), tomsawyerlabs.com (open source projects).</x18tc:text>
    <x18tc:extLst>
      <ext uri="{F7C98A9C-CBB3-438F-8F68-D28B6AF4A901}">
        <xltc2:checksum/>
        <xltc2:hyperlink startIndex="207" length="12" url="http://tacklind.com"/>
        <xltc2:hyperlink startIndex="248" length="17" url="http://arbitraryshit.com"/>
        <xltc2:hyperlink startIndex="296" length="17" url="http://tomsawyerlabs.com"/>
      </ext>
    </x18tc:extLst>
  </x18tc:threadedComment>
  <x18tc:threadedComment ref="A1" dT="2020-10-26T00:47:38.00" personId="{07293b66-6d4b-4b68-84b1-edf1aef32703}" id="{4b1fd383-3141-4bcc-aa17-2d7479b6e3d9}" parentId="{0bd61d81-146b-4d10-8a15-17fba7f250ef}">
    <x18tc:text xml:space="preserve">in recognition of the group where it started www.awesomeledlist.com  wil find here in the future , and save me trying to hunt the darn thing out away from main machine :_0</x18tc:text>
    <x18tc:extLst>
      <ext uri="{F7C98A9C-CBB3-438F-8F68-D28B6AF4A901}">
        <xltc2:checksum/>
        <xltc2:hyperlink startIndex="45" length="22" url="http://www.awesomeledlist.com"/>
      </ext>
    </x18tc:extLst>
  </x18tc:threadedComment>
  <x18tc:threadedComment ref="A1" dT="2020-11-15T00:14:06.00" personId="{257ab81f-aa8e-4233-af27-d76b3960adea}" id="{106eba4f-5927-4dfa-9760-ed0c7899f9b4}" parentId="{0bd61d81-146b-4d10-8a15-17fba7f250ef}">
    <x18tc:text xml:space="preserve">Marked as resolved</x18tc:text>
  </x18tc:threadedComment>
  <x18tc:threadedComment ref="A1" dT="2020-12-04T15:45:25.00" personId="{07293b66-6d4b-4b68-84b1-edf1aef32703}" id="{9c72a962-80f5-4376-a355-4d3adfff284c}" parentId="{0bd61d81-146b-4d10-8a15-17fba7f250ef}">
    <x18tc:text xml:space="preserve">mebbe add a URL note on the readme page so people can book mark it, if you add it as a subdomain to other domains might have a few domains pointing, somethning along " this page as available at : www.awesomeledlist.com  and  tiny.cc/awesomesheet and https://docs.google.com/spreadsheets/d/10pHG7_VIVltyqJK1Y0T5g3Iq6YJV2MnhMp3UcAVB-GA
 "
Re-opened</x18tc:text>
    <x18tc:extLst>
      <ext uri="{F7C98A9C-CBB3-438F-8F68-D28B6AF4A901}">
        <xltc2:checksum/>
        <xltc2:hyperlink startIndex="196" length="22" url="http://www.awesomeledlist.com"/>
        <xltc2:hyperlink startIndex="225" length="20" url="http://tiny.cc/awesomesheet"/>
        <xltc2:hyperlink startIndex="250" length="83" url="https://docs.google.com/spreadsheets/d/10pHG7_VIVltyqJK1Y0T5g3Iq6YJV2MnhMp3UcAVB-GA"/>
      </ext>
    </x18tc:extLst>
  </x18tc:threadedComment>
  <x18tc:threadedComment ref="V17" dT="2019-12-13T23:31:04.00" personId="{257ab81f-aa8e-4233-af27-d76b3960adea}" id="{67b4a823-9f6e-407f-9596-445add9745c7}" done="0">
    <x18tc:text xml:space="preserve">I'm not finding this. If it exists, please make a second row for it.</x18tc:text>
  </x18tc:threadedComment>
  <x18tc:threadedComment ref="K15" dT="2019-12-14T00:37:30.00" personId="{257ab81f-aa8e-4233-af27-d76b3960adea}" id="{e88bbb97-57bd-44d0-a2be-84ebc29c3be6}" done="1">
    <x18tc:text xml:space="preserve">Datasheet says can handle 0.7*VDD (VDD = 12V). I don't think this is accurate.</x18tc:text>
  </x18tc:threadedComment>
  <x18tc:threadedComment ref="K15" dT="2020-01-06T18:41:47.00" personId="{b436dd07-117a-4be3-b921-b67f71c06b1c}" id="{1ebf5bf3-b82b-42c8-94e4-bbfc4f3ba5b5}" parentId="{e88bbb97-57bd-44d0-a2be-84ebc29c3be6}">
    <x18tc:text xml:space="preserve">I think that's a copy-paste failure. Or they mean after an internal regular drops things down from 12v to 5v.</x18tc:text>
  </x18tc:threadedComment>
  <x18tc:threadedComment ref="K15" dT="2020-01-07T00:00:31.00" personId="{257ab81f-aa8e-4233-af27-d76b3960adea}" id="{13a67171-e581-43f4-9ba4-75e3265710a6}" parentId="{e88bbb97-57bd-44d0-a2be-84ebc29c3be6}">
    <x18tc:text xml:space="preserve">Yeah, that's more typical. 0.7*VCC.</x18tc:text>
  </x18tc:threadedComment>
  <x18tc:threadedComment ref="K15" dT="2020-03-11T20:32:22.00" personId="{7f40af01-eee9-4898-9a10-885d4497eedf}" id="{46b643a5-6e3c-4108-9a84-d5892562344a}" parentId="{e88bbb97-57bd-44d0-a2be-84ebc29c3be6}">
    <x18tc:text xml:space="preserve">Yes. Vdd is internal 5V bus, so 3.5V</x18tc:text>
  </x18tc:threadedComment>
  <x18tc:threadedComment ref="V10" dT="2019-12-14T01:08:11.00" personId="{257ab81f-aa8e-4233-af27-d76b3960adea}" id="{65050cc1-dc70-4787-8ca1-07bdfab193fb}" done="0">
    <x18tc:text xml:space="preserve">Should this variant be a different line?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5-01-26T18:30:45.00" personId="{51e25cc5-abf2-4744-9558-d8d8c17656cc}" id="{91abf600-63f1-402f-9694-44c304d714ae}" done="0">
    <x18tc:text xml:space="preserve">I think this should be 6 (https://cdn-shop.adafruit.com/datasheets/lpd8806+english.pdf)</x18tc:text>
    <x18tc:extLst>
      <ext uri="{F7C98A9C-CBB3-438F-8F68-D28B6AF4A901}">
        <xltc2:checksum/>
        <xltc2:hyperlink startIndex="26" length="60" url="https://cdn-shop.adafruit.com/datasheets/lpd8806+english.pdf"/>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4-02-11T03:34:43.00" personId="{bd993240-0293-4cd3-9a1e-68a1087630d7}" id="{edfa19a7-b432-44d7-ac96-8dbea5def594}" done="0">
    <x18tc:text xml:space="preserve">Wouldn't this actually just be a controller?  I thought "Level Shifters" would be like Logic Level Shifters like the 74AHCT125 ship or something...</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19-11-19T21:47:20.00" personId="{257ab81f-aa8e-4233-af27-d76b3960adea}" id="{e032ebee-08e2-4017-8f47-ee929b6654b9}" done="1">
    <x18tc:text xml:space="preserve">If I understand correctly, this is all software to make an OrangePi (and RapsberryPis to some extent) run without Linux and support a bunch of useful protocols for pixel control. Does it actually drive pixel outputs directly too?
Don't get me wrong, this is very cool. I just think it belongs in a different category/tab/sheet. Is it a "Drive Library"? Maybe we need an "Other" tab.</x18tc:text>
  </x18tc:threadedComment>
  <x18tc:threadedComment ref="A45" dT="2019-11-08T22:12:12.00" personId="{257ab81f-aa8e-4233-af27-d76b3960adea}" id="{0c2608db-e44c-4c09-b6fd-15122cc261d5}" done="1">
    <x18tc:text xml:space="preserve">Isn't this a "Controller" since it comes with a ESP and software?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9-11-26T14:14:08.00" personId="{07293b66-6d4b-4b68-84b1-edf1aef32703}" id="{fbe42ab0-957f-463d-b4f7-20a31d8585c5}" done="1">
    <x18tc:text xml:space="preserve">worth adding another sheet for LED types WS/UCSSK etc?</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9" dT="2020-04-30T05:06:57.00" personId="{257ab81f-aa8e-4233-af27-d76b3960adea}" id="{42850fa8-7893-4cef-9013-2d24df359c19}" done="1">
    <x18tc:text xml:space="preserve">Why was this "Yes"? Is there some micro linux that can run on Teensy?</x18tc:text>
  </x18tc:threadedComment>
  <x18tc:threadedComment ref="A18" dT="2019-11-19T21:34:29.00" personId="{257ab81f-aa8e-4233-af27-d76b3960adea}" id="{fbb9fc77-6115-46ab-b02b-d0596922582e}" done="1">
    <x18tc:text xml:space="preserve">Do Teensy and other microcontrollers belong on this Sheet? We need a way to distinguish that they need a little more DIY/Programming to be used as a pixel controller.</x18tc:text>
  </x18tc:threadedComment>
  <x18tc:threadedComment ref="A15" dT="2021-03-08T00:55:39.00" personId="{07293b66-6d4b-4b68-84b1-edf1aef32703}" id="{479e908a-3cd6-4cfd-bdc9-c10e993b1d3b}" done="1">
    <x18tc:text xml:space="preserve">anyone want to sketch in more detail about these wired esp 32 boards</x18tc:text>
  </x18tc:threadedComment>
  <x18tc:threadedComment ref="J18" dT="2019-11-19T21:37:27.00" personId="{257ab81f-aa8e-4233-af27-d76b3960adea}" id="{a973a002-7c1e-4349-92a9-f7d4b5c21dfa}" done="1">
    <x18tc:text xml:space="preserve">Theoretically it could have many more but the common library for efficient hardware usage is limited to 8</x18tc:text>
  </x18tc:threadedComment>
  <x18tc:threadedComment ref="A1" dT="2021-03-18T01:01:32.00" personId="{07293b66-6d4b-4b68-84b1-edf1aef32703}" id="{04f1cef0-c7a1-443d-acdf-af6737204f3e}" done="1">
    <x18tc:text xml:space="preserve">@cinderblock63@gmail.com bad edit March 16th most of diffusion tab wiped</x18tc:text>
    <x18tc:mentions>
      <x18tc:mention mentionpersonId="{5afd1562-5d70-4330-8ff7-adeab0662766}" mentionId="{ef544d7d-2143-48a6-a6a9-61dc4890304b}" startIndex="0" length="24"/>
    </x18tc:mentions>
  </x18tc:threadedComment>
  <x18tc:threadedComment ref="A1" dT="2021-03-18T22:27:52.00" personId="{257ab81f-aa8e-4233-af27-d76b3960adea}" id="{dc741813-6a82-441b-bc16-50a9ab553e66}" parentId="{04f1cef0-c7a1-443d-acdf-af6737204f3e}">
    <x18tc:text xml:space="preserve">@ledlight@gmail.com Looks like it was just a filter that was turned on</x18tc:text>
    <x18tc:mentions>
      <x18tc:mention mentionpersonId="{6ea446cd-7127-4efe-996e-5755cadd7d40}" mentionId="{56038bb7-a59d-46b8-9b69-94fea40cb034}" startIndex="0" length="19"/>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1" dT="2021-02-16T19:09:46.00" personId="{257ab81f-aa8e-4233-af27-d76b3960adea}" id="{32456163-7a7f-4778-9763-927025d6b979}" done="1">
    <x18tc:text xml:space="preserve">If someone has a more clear naming scheme here, I'm all ears</x18tc:text>
  </x18tc:threadedComment>
  <x18tc:threadedComment ref="AB1" dT="2023-06-09T16:38:49.00" personId="{45386c1e-a095-4024-b784-fc75bfd0a5ee}" id="{ff438df2-ba29-488c-8a3c-d8805f343bc2}" parentId="{32456163-7a7f-4778-9763-927025d6b979}">
    <x18tc:text xml:space="preserve">Marked as resolved</x18tc:text>
  </x18tc:threadedComment>
  <x18tc:threadedComment ref="AB1" dT="2023-06-09T16:39:07.00" personId="{45386c1e-a095-4024-b784-fc75bfd0a5ee}" id="{05a67594-618b-4fd1-a362-5b2543f0e406}" parentId="{32456163-7a7f-4778-9763-927025d6b979}">
    <x18tc:text xml:space="preserve">Re-opened</x18tc:text>
  </x18tc:threadedComment>
  <x18tc:threadedComment ref="A1" dT="2021-01-14T19:00:56.00" personId="{257ab81f-aa8e-4233-af27-d76b3960adea}" id="{34c095e2-3726-4a26-a6df-aee45a313386}" done="1">
    <x18tc:text xml:space="preserve">This is a new tab. Extended it as is helpful.</x18tc:text>
  </x18tc:threadedComment>
  <x18tc:threadedComment ref="E22" dT="2021-02-16T19:04:05.00" personId="{257ab81f-aa8e-4233-af27-d76b3960adea}" id="{ce2d226f-9b16-45c5-bad8-f2d55a998b0a}" done="1">
    <x18tc:text xml:space="preserve">Or maybe 15??</x18tc:text>
  </x18tc:threadedComment>
  <x18tc:threadedComment ref="E22" dT="2021-02-23T15:03:15.00" personId="{07293b66-6d4b-4b68-84b1-edf1aef32703}" id="{896cf120-ff44-4a3f-b1b2-e54df721633b}" parentId="{ce2d226f-9b16-45c5-bad8-f2d55a998b0a}">
    <x18tc:text xml:space="preserve">only 15 in lower pin counts</x18tc:text>
  </x18tc:threadedComment>
  <x18tc:threadedComment ref="B25" dT="2021-03-06T09:49:44.00" personId="{257ab81f-aa8e-4233-af27-d76b3960adea}" id="{9732d581-3924-4cc4-ad57-699c03929f95}" done="1">
    <x18tc:text xml:space="preserve">Someone please add details for the commonly used connectors. I personally dislike them... specifically because of the screw clamps, but they deserve to be listed</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8" dT="2020-10-30T15:51:02.00" personId="{07293b66-6d4b-4b68-84b1-edf1aef32703}" id="{d11b9af9-dad2-4121-bbc5-c7f348851d36}" done="1">
    <x18tc:text xml:space="preserve">added commercial pixel tab, didnt seem to fit easily in other tabs but helps to have wide overview</x18tc:text>
  </x18tc:threadedComment>
  <x18tc:threadedComment ref="L8" dT="2020-10-30T22:05:40.00" personId="{257ab81f-aa8e-4233-af27-d76b3960adea}" id="{d88314dc-a730-42be-8e86-e20037dab86e}" parentId="{d11b9af9-dad2-4121-bbc5-c7f348851d36}">
    <x18tc:text xml:space="preserve">I like it. Would it be appropriate to add pricing information?</x18tc:text>
  </x18tc:threadedComment>
  <x18tc:threadedComment ref="L8" dT="2020-10-30T22:56:31.00" personId="{07293b66-6d4b-4b68-84b1-edf1aef32703}" id="{35fa2006-c8be-4699-8a90-ba9f02fba227}" parentId="{d11b9af9-dad2-4121-bbc5-c7f348851d36}">
    <x18tc:text xml:space="preserve">Where available...Glasson are quote only land, need to be sitting down😉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awesomeledlist.com/" TargetMode="External"/><Relationship Id="rId5" Type="http://schemas.openxmlformats.org/officeDocument/2006/relationships/hyperlink" Target="https://docs.google.com/spreadsheets/d/10pHG7_VIVltyqJK1Y0T5g3Iq6YJV2MnhMp3UcAVB-GA"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ghtjams.com/" TargetMode="External"/><Relationship Id="rId42" Type="http://schemas.openxmlformats.org/officeDocument/2006/relationships/hyperlink" Target="https://www.rocketlife.com/technology/" TargetMode="External"/><Relationship Id="rId41" Type="http://schemas.openxmlformats.org/officeDocument/2006/relationships/hyperlink" Target="https://www.lightjams.com/" TargetMode="External"/><Relationship Id="rId44" Type="http://schemas.openxmlformats.org/officeDocument/2006/relationships/hyperlink" Target="https://lumiastream.com/" TargetMode="External"/><Relationship Id="rId43" Type="http://schemas.openxmlformats.org/officeDocument/2006/relationships/hyperlink" Target="https://lumiastream.com/" TargetMode="External"/><Relationship Id="rId46" Type="http://schemas.openxmlformats.org/officeDocument/2006/relationships/hyperlink" Target="https://lx.studio/" TargetMode="External"/><Relationship Id="rId45" Type="http://schemas.openxmlformats.org/officeDocument/2006/relationships/hyperlink" Target="https://lumiastream.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github.com/NLED/allpixmatrix" TargetMode="External"/><Relationship Id="rId9" Type="http://schemas.openxmlformats.org/officeDocument/2006/relationships/hyperlink" Target="https://github.com/benkuper/BenTo" TargetMode="External"/><Relationship Id="rId48" Type="http://schemas.openxmlformats.org/officeDocument/2006/relationships/hyperlink" Target="https://madmapper.com/madmapper/" TargetMode="External"/><Relationship Id="rId47" Type="http://schemas.openxmlformats.org/officeDocument/2006/relationships/hyperlink" Target="https://lx.studio/" TargetMode="External"/><Relationship Id="rId49" Type="http://schemas.openxmlformats.org/officeDocument/2006/relationships/hyperlink" Target="https://www.madrix.com/products/software" TargetMode="External"/><Relationship Id="rId5" Type="http://schemas.openxmlformats.org/officeDocument/2006/relationships/hyperlink" Target="https://github.com/NLED/allpixmatrix" TargetMode="External"/><Relationship Id="rId6" Type="http://schemas.openxmlformats.org/officeDocument/2006/relationships/hyperlink" Target="https://www.arkaos.com/" TargetMode="External"/><Relationship Id="rId7" Type="http://schemas.openxmlformats.org/officeDocument/2006/relationships/hyperlink" Target="https://www.bekonix.com/" TargetMode="External"/><Relationship Id="rId8" Type="http://schemas.openxmlformats.org/officeDocument/2006/relationships/hyperlink" Target="https://www.bekonix.com/platform/" TargetMode="External"/><Relationship Id="rId72" Type="http://schemas.openxmlformats.org/officeDocument/2006/relationships/table" Target="../tables/table1.xml"/><Relationship Id="rId31" Type="http://schemas.openxmlformats.org/officeDocument/2006/relationships/hyperlink" Target="https://apps.apple.com/us/app/l-e-d-lab/id832042156" TargetMode="External"/><Relationship Id="rId30" Type="http://schemas.openxmlformats.org/officeDocument/2006/relationships/hyperlink" Target="https://oneguyoneblog.com/download/glediator-v2-0-3/" TargetMode="External"/><Relationship Id="rId33" Type="http://schemas.openxmlformats.org/officeDocument/2006/relationships/hyperlink" Target="https://www.ledstripstudio.com/addressable-led-pixel-mapping-software/" TargetMode="External"/><Relationship Id="rId32" Type="http://schemas.openxmlformats.org/officeDocument/2006/relationships/hyperlink" Target="https://www.ledstripstudio.com/addressable-led-pixel-mapping-software/" TargetMode="External"/><Relationship Id="rId35" Type="http://schemas.openxmlformats.org/officeDocument/2006/relationships/hyperlink" Target="https://github.com/LedFx/LedFx" TargetMode="External"/><Relationship Id="rId34" Type="http://schemas.openxmlformats.org/officeDocument/2006/relationships/hyperlink" Target="https://learnitstepbystep.blogspot.com/2018/07/download-led-edit-2014-2016-2017-2018.html" TargetMode="External"/><Relationship Id="rId70" Type="http://schemas.openxmlformats.org/officeDocument/2006/relationships/vmlDrawing" Target="../drawings/vmlDrawing2.vml"/><Relationship Id="rId37" Type="http://schemas.openxmlformats.org/officeDocument/2006/relationships/hyperlink" Target="https://antoine.doussaud.org/leds_master?fbclid=IwAR3-1DGHYe6tRD5NdfnBDOKZFSaNkI8NM58BPG5ZUM7yuXGCOS9_yghmF-c" TargetMode="External"/><Relationship Id="rId36" Type="http://schemas.openxmlformats.org/officeDocument/2006/relationships/hyperlink" Target="https://github.com/LedFx/LedFx" TargetMode="External"/><Relationship Id="rId39" Type="http://schemas.openxmlformats.org/officeDocument/2006/relationships/hyperlink" Target="https://www.rocketlife.com/technology/" TargetMode="External"/><Relationship Id="rId38" Type="http://schemas.openxmlformats.org/officeDocument/2006/relationships/hyperlink" Target="https://antoine.doussaud.org/leds_master" TargetMode="External"/><Relationship Id="rId62" Type="http://schemas.openxmlformats.org/officeDocument/2006/relationships/hyperlink" Target="https://smode.fr/" TargetMode="External"/><Relationship Id="rId61" Type="http://schemas.openxmlformats.org/officeDocument/2006/relationships/hyperlink" Target="https://resolume.com/software" TargetMode="External"/><Relationship Id="rId20" Type="http://schemas.openxmlformats.org/officeDocument/2006/relationships/hyperlink" Target="https://obsidiancontrol.com/dylos" TargetMode="External"/><Relationship Id="rId64" Type="http://schemas.openxmlformats.org/officeDocument/2006/relationships/hyperlink" Target="https://derivative.ca/" TargetMode="External"/><Relationship Id="rId63" Type="http://schemas.openxmlformats.org/officeDocument/2006/relationships/hyperlink" Target="https://derivative.ca/" TargetMode="External"/><Relationship Id="rId22" Type="http://schemas.openxmlformats.org/officeDocument/2006/relationships/hyperlink" Target="https://www.enttec.co.uk/product/controls-gb/addressable-led-pixel-control-gb/pixel-mapping-software/" TargetMode="External"/><Relationship Id="rId66" Type="http://schemas.openxmlformats.org/officeDocument/2006/relationships/hyperlink" Target="https://kno.wled.ge/" TargetMode="External"/><Relationship Id="rId21" Type="http://schemas.openxmlformats.org/officeDocument/2006/relationships/hyperlink" Target="https://www.enttec.com/elm-download-564258/" TargetMode="External"/><Relationship Id="rId65" Type="http://schemas.openxmlformats.org/officeDocument/2006/relationships/hyperlink" Target="http://www.vixenlights.com/downloads/" TargetMode="External"/><Relationship Id="rId24" Type="http://schemas.openxmlformats.org/officeDocument/2006/relationships/hyperlink" Target="https://resources.faithchapel.cc/blogs/pixel_mapping_software?fbclid=IwAR0I3imz0gy7R6-_x8hWD8CO6qJEM2o2P_KXTdmkpRUYbOaWYssicnD2IIE" TargetMode="External"/><Relationship Id="rId68" Type="http://schemas.openxmlformats.org/officeDocument/2006/relationships/hyperlink" Target="http://www.xlights.org/" TargetMode="External"/><Relationship Id="rId23" Type="http://schemas.openxmlformats.org/officeDocument/2006/relationships/hyperlink" Target="https://resources.faithchapel.cc/blogs/pixel_mapping_software?fbclid=IwAR0I3imz0gy7R6-_x8hWD8CO6qJEM2o2P_KXTdmkpRUYbOaWYssicnD2IIE" TargetMode="External"/><Relationship Id="rId67" Type="http://schemas.openxmlformats.org/officeDocument/2006/relationships/hyperlink" Target="https://github.com/Aircoookie/WLED" TargetMode="External"/><Relationship Id="rId60" Type="http://schemas.openxmlformats.org/officeDocument/2006/relationships/hyperlink" Target="https://www.qlcplus.org/" TargetMode="External"/><Relationship Id="rId26" Type="http://schemas.openxmlformats.org/officeDocument/2006/relationships/hyperlink" Target="https://www.geopix.io/" TargetMode="External"/><Relationship Id="rId25" Type="http://schemas.openxmlformats.org/officeDocument/2006/relationships/hyperlink" Target="https://github.com/FalconChristmas/fpp" TargetMode="External"/><Relationship Id="rId69" Type="http://schemas.openxmlformats.org/officeDocument/2006/relationships/drawing" Target="../drawings/drawing2.xml"/><Relationship Id="rId28" Type="http://schemas.openxmlformats.org/officeDocument/2006/relationships/hyperlink" Target="http://www.live-leds.de" TargetMode="External"/><Relationship Id="rId27" Type="http://schemas.openxmlformats.org/officeDocument/2006/relationships/hyperlink" Target="https://www.enviral-design.com/" TargetMode="External"/><Relationship Id="rId29" Type="http://schemas.openxmlformats.org/officeDocument/2006/relationships/hyperlink" Target="http://solderlab.de" TargetMode="External"/><Relationship Id="rId51" Type="http://schemas.openxmlformats.org/officeDocument/2006/relationships/hyperlink" Target="https://chamsyslighting.com/" TargetMode="External"/><Relationship Id="rId50" Type="http://schemas.openxmlformats.org/officeDocument/2006/relationships/hyperlink" Target="https://chamsyslighting.com/" TargetMode="External"/><Relationship Id="rId53" Type="http://schemas.openxmlformats.org/officeDocument/2006/relationships/hyperlink" Target="https://visution.com/" TargetMode="External"/><Relationship Id="rId52" Type="http://schemas.openxmlformats.org/officeDocument/2006/relationships/hyperlink" Target="https://visution.com/" TargetMode="External"/><Relationship Id="rId11" Type="http://schemas.openxmlformats.org/officeDocument/2006/relationships/hyperlink" Target="https://benjamin.kuperberg.fr/blux/" TargetMode="External"/><Relationship Id="rId55" Type="http://schemas.openxmlformats.org/officeDocument/2006/relationships/hyperlink" Target="https://www.millumin.com/" TargetMode="External"/><Relationship Id="rId10" Type="http://schemas.openxmlformats.org/officeDocument/2006/relationships/hyperlink" Target="http://github.com/benkuper/BenTo" TargetMode="External"/><Relationship Id="rId54" Type="http://schemas.openxmlformats.org/officeDocument/2006/relationships/hyperlink" Target="https://www.millumin.com/" TargetMode="External"/><Relationship Id="rId13" Type="http://schemas.openxmlformats.org/officeDocument/2006/relationships/hyperlink" Target="https://benjamin.kuperberg.fr/chataigne/en" TargetMode="External"/><Relationship Id="rId57" Type="http://schemas.openxmlformats.org/officeDocument/2006/relationships/hyperlink" Target="https://electromage.com/pixelblaze/" TargetMode="External"/><Relationship Id="rId12" Type="http://schemas.openxmlformats.org/officeDocument/2006/relationships/hyperlink" Target="http://benjamin.kuperberg.fr/blux" TargetMode="External"/><Relationship Id="rId56" Type="http://schemas.openxmlformats.org/officeDocument/2006/relationships/hyperlink" Target="https://www.bhencke.com/pixelblaze" TargetMode="External"/><Relationship Id="rId15" Type="http://schemas.openxmlformats.org/officeDocument/2006/relationships/hyperlink" Target="https://github.com/zak-45/WLED-Chataigne-Module" TargetMode="External"/><Relationship Id="rId59" Type="http://schemas.openxmlformats.org/officeDocument/2006/relationships/hyperlink" Target="https://www.qlcplus.org/discover/compatibility" TargetMode="External"/><Relationship Id="rId14" Type="http://schemas.openxmlformats.org/officeDocument/2006/relationships/hyperlink" Target="http://benjamin.kuperberg.fr/chataigne/en" TargetMode="External"/><Relationship Id="rId58" Type="http://schemas.openxmlformats.org/officeDocument/2006/relationships/hyperlink" Target="https://www.protopixel.io/design" TargetMode="External"/><Relationship Id="rId17" Type="http://schemas.openxmlformats.org/officeDocument/2006/relationships/hyperlink" Target="https://chromatik.co/" TargetMode="External"/><Relationship Id="rId16" Type="http://schemas.openxmlformats.org/officeDocument/2006/relationships/hyperlink" Target="https://github.com/zak-45" TargetMode="External"/><Relationship Id="rId19" Type="http://schemas.openxmlformats.org/officeDocument/2006/relationships/hyperlink" Target="https://support.obsidiancontrol.com/Content/Onyx/Onyx_PC_Modes.htm" TargetMode="External"/><Relationship Id="rId18" Type="http://schemas.openxmlformats.org/officeDocument/2006/relationships/hyperlink" Target="https://obsidiancontrol.com/dylo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deskontrol.net/en/art-net-led-controllers/384-deskontroller-lite-v3-32-artnet-universes.html" TargetMode="External"/><Relationship Id="rId190" Type="http://schemas.openxmlformats.org/officeDocument/2006/relationships/hyperlink" Target="https://www.superlightingled.com/sp608e-8-output-spi-channel-led-music-controller-work-with-bluetooth-app-rf-remote-4-adjustable-triggers-for-addressable-led-strips-p-3768.html" TargetMode="External"/><Relationship Id="rId42" Type="http://schemas.openxmlformats.org/officeDocument/2006/relationships/hyperlink" Target="https://www.deskontrol.net/en/art-net-led-controllers/381-deskontroller-lite-v3-96-artnet-universes.html" TargetMode="External"/><Relationship Id="rId41" Type="http://schemas.openxmlformats.org/officeDocument/2006/relationships/hyperlink" Target="https://www.deskontrol.net/en/art-net-led-controllers/381-deskontroller-lite-v3-96-artnet-universes.html" TargetMode="External"/><Relationship Id="rId44" Type="http://schemas.openxmlformats.org/officeDocument/2006/relationships/hyperlink" Target="https://www.deskontrol.net/en/art-net-led-controllers/386-deskontroller-lite-v3-192-artnet-universes.html" TargetMode="External"/><Relationship Id="rId194" Type="http://schemas.openxmlformats.org/officeDocument/2006/relationships/hyperlink" Target="https://ultralightsound.co.uk/product/uls-stripe-addressable-led-pixel-controller" TargetMode="External"/><Relationship Id="rId43" Type="http://schemas.openxmlformats.org/officeDocument/2006/relationships/hyperlink" Target="https://www.deskontrol.net/en/art-net-led-controllers/386-deskontroller-lite-v3-192-artnet-universes.html" TargetMode="External"/><Relationship Id="rId193" Type="http://schemas.openxmlformats.org/officeDocument/2006/relationships/hyperlink" Target="https://ultralightsound.co.uk/product/uls-stripe-addressable-led-pixel-controller" TargetMode="External"/><Relationship Id="rId46" Type="http://schemas.openxmlformats.org/officeDocument/2006/relationships/hyperlink" Target="https://www.led-genial.de/LED-Player-L-fuer-Strips-und-Panels-bis-4096-LEDs" TargetMode="External"/><Relationship Id="rId192" Type="http://schemas.openxmlformats.org/officeDocument/2006/relationships/hyperlink" Target="https://shop.ulrichradig.de/Module/Light-Control-DMX/4096-Kanal-LED-Strip-Controller.html" TargetMode="External"/><Relationship Id="rId45" Type="http://schemas.openxmlformats.org/officeDocument/2006/relationships/hyperlink" Target="https://www.led-genial.de/LED-Controller-L-Rev2-fuer-WS2812-Effekte-abspielen-und-TPM2-ueber-USB" TargetMode="External"/><Relationship Id="rId191" Type="http://schemas.openxmlformats.org/officeDocument/2006/relationships/hyperlink" Target="https://theatrewireless.com/shop/rc4magic-s3/dmxpix/" TargetMode="External"/><Relationship Id="rId48" Type="http://schemas.openxmlformats.org/officeDocument/2006/relationships/hyperlink" Target="https://dmxcore.com/" TargetMode="External"/><Relationship Id="rId187" Type="http://schemas.openxmlformats.org/officeDocument/2006/relationships/hyperlink" Target="https://sperll.com/" TargetMode="External"/><Relationship Id="rId47" Type="http://schemas.openxmlformats.org/officeDocument/2006/relationships/hyperlink" Target="https://www.led-genial.de/LED-Player-DMX-TPM2-Dateien-von-DMX-gesteuert-abspielen" TargetMode="External"/><Relationship Id="rId186" Type="http://schemas.openxmlformats.org/officeDocument/2006/relationships/hyperlink" Target="https://sperll.com/" TargetMode="External"/><Relationship Id="rId185" Type="http://schemas.openxmlformats.org/officeDocument/2006/relationships/hyperlink" Target="https://sperll.com/" TargetMode="External"/><Relationship Id="rId49" Type="http://schemas.openxmlformats.org/officeDocument/2006/relationships/hyperlink" Target="https://dmxcore.com/" TargetMode="External"/><Relationship Id="rId184" Type="http://schemas.openxmlformats.org/officeDocument/2006/relationships/hyperlink" Target="https://smartshow.lighting/" TargetMode="External"/><Relationship Id="rId189" Type="http://schemas.openxmlformats.org/officeDocument/2006/relationships/hyperlink" Target="https://sperll.com/" TargetMode="External"/><Relationship Id="rId188" Type="http://schemas.openxmlformats.org/officeDocument/2006/relationships/hyperlink" Target="https://sperll.com/" TargetMode="External"/><Relationship Id="rId31" Type="http://schemas.openxmlformats.org/officeDocument/2006/relationships/hyperlink" Target="https://www.chauvetprofessional.com/products/epix-flex-drive/" TargetMode="External"/><Relationship Id="rId30" Type="http://schemas.openxmlformats.org/officeDocument/2006/relationships/hyperlink" Target="https://baldrickboard.com/" TargetMode="External"/><Relationship Id="rId33" Type="http://schemas.openxmlformats.org/officeDocument/2006/relationships/hyperlink" Target="https://shop.chroma.tech/products/angio-4" TargetMode="External"/><Relationship Id="rId183" Type="http://schemas.openxmlformats.org/officeDocument/2006/relationships/hyperlink" Target="https://smartshow.lighting/" TargetMode="External"/><Relationship Id="rId32" Type="http://schemas.openxmlformats.org/officeDocument/2006/relationships/hyperlink" Target="https://shop.chroma.tech/products/angio-4" TargetMode="External"/><Relationship Id="rId182" Type="http://schemas.openxmlformats.org/officeDocument/2006/relationships/hyperlink" Target="https://smartshow.lighting/product/smartshow-pro-one/" TargetMode="External"/><Relationship Id="rId35" Type="http://schemas.openxmlformats.org/officeDocument/2006/relationships/hyperlink" Target="https://shop.chroma.tech/products/angio-8" TargetMode="External"/><Relationship Id="rId181" Type="http://schemas.openxmlformats.org/officeDocument/2006/relationships/hyperlink" Target="https://www.ebay.co.uk/itm/SmartShow-NetPixel-ONE-32-Universe-Ethernet-Pixel-Driver-ArtNet-sACN/274037107730" TargetMode="External"/><Relationship Id="rId34" Type="http://schemas.openxmlformats.org/officeDocument/2006/relationships/hyperlink" Target="https://shop.chroma.tech/products/angio-8" TargetMode="External"/><Relationship Id="rId180" Type="http://schemas.openxmlformats.org/officeDocument/2006/relationships/hyperlink" Target="https://www.ebay.co.uk/itm/SmartShow-NetPixel-Quad-16-Universe-Pixel-Driver-4-output-ArtNet-SPI/273982361910" TargetMode="External"/><Relationship Id="rId37" Type="http://schemas.openxmlformats.org/officeDocument/2006/relationships/hyperlink" Target="https://www.deskontrol.net/en/art-net-led-controller/362-art-net-led-controller-deskontroller-lite-16-universes.html" TargetMode="External"/><Relationship Id="rId176" Type="http://schemas.openxmlformats.org/officeDocument/2006/relationships/hyperlink" Target="http://smartlight.me/" TargetMode="External"/><Relationship Id="rId36" Type="http://schemas.openxmlformats.org/officeDocument/2006/relationships/hyperlink" Target="http://www.citytheatrical.com/Products/qolorpix-tape-controller-eight-output" TargetMode="External"/><Relationship Id="rId175" Type="http://schemas.openxmlformats.org/officeDocument/2006/relationships/hyperlink" Target="https://www.tindie.com/products/smartlightme/a1-slwf-03-wled-esp32-controller-home-assistant" TargetMode="External"/><Relationship Id="rId39" Type="http://schemas.openxmlformats.org/officeDocument/2006/relationships/hyperlink" Target="https://www.deskontrol.net/en/art-net-led-controllers/384-deskontroller-lite-v3-32-artnet-universes.html" TargetMode="External"/><Relationship Id="rId174" Type="http://schemas.openxmlformats.org/officeDocument/2006/relationships/hyperlink" Target="http://sandevices.com/product/e682-assembled-tested/" TargetMode="External"/><Relationship Id="rId38" Type="http://schemas.openxmlformats.org/officeDocument/2006/relationships/hyperlink" Target="https://www.deskontrol.net/en/art-net-led-controller/362-art-net-led-controller-deskontroller-lite-16-universes.html" TargetMode="External"/><Relationship Id="rId173" Type="http://schemas.openxmlformats.org/officeDocument/2006/relationships/hyperlink" Target="https://www.rocketlife.com/technology/" TargetMode="External"/><Relationship Id="rId179" Type="http://schemas.openxmlformats.org/officeDocument/2006/relationships/hyperlink" Target="https://www.ebay.co.uk/itm/SmartShow-REPLAY-SDCard-Pixel-Player-2720-WS2812-SK6812-TMP2-FSEQ-PSEQ/274135104445?hash=item3fd3b9bbbd:g:sSAAAOSwAeBd7nOC" TargetMode="External"/><Relationship Id="rId178" Type="http://schemas.openxmlformats.org/officeDocument/2006/relationships/hyperlink" Target="https://www.ebay.co.uk/itm/SmartShow-PIXIE-Wifi-1-Universe-WS2812-Pixel-Controller-ArtNet-SPI/273946916411" TargetMode="External"/><Relationship Id="rId177" Type="http://schemas.openxmlformats.org/officeDocument/2006/relationships/hyperlink" Target="https://www.tindie.com/products/smartlightme/a1-slwf-03-wled-esp32-controller-home-assistant" TargetMode="External"/><Relationship Id="rId20" Type="http://schemas.openxmlformats.org/officeDocument/2006/relationships/hyperlink" Target="https://www.advateklights.com/pixlite-e16-s-mk3" TargetMode="External"/><Relationship Id="rId22" Type="http://schemas.openxmlformats.org/officeDocument/2006/relationships/hyperlink" Target="https://www.advateklights.com/pixlite-t8-s-mk3" TargetMode="External"/><Relationship Id="rId21" Type="http://schemas.openxmlformats.org/officeDocument/2006/relationships/hyperlink" Target="https://www.advateklights.com/pixlite-t8-s-mk3" TargetMode="External"/><Relationship Id="rId24" Type="http://schemas.openxmlformats.org/officeDocument/2006/relationships/hyperlink" Target="http://www.orangepi-dmx.org/" TargetMode="External"/><Relationship Id="rId23" Type="http://schemas.openxmlformats.org/officeDocument/2006/relationships/hyperlink" Target="https://www.advateklights.com/pixlite-t8-s-mk2" TargetMode="External"/><Relationship Id="rId26" Type="http://schemas.openxmlformats.org/officeDocument/2006/relationships/hyperlink" Target="https://shop.blinkinlabs.com/products/blinkytape-control-board" TargetMode="External"/><Relationship Id="rId25" Type="http://schemas.openxmlformats.org/officeDocument/2006/relationships/hyperlink" Target="http://www.orangepi-dmx.org/" TargetMode="External"/><Relationship Id="rId28" Type="http://schemas.openxmlformats.org/officeDocument/2006/relationships/hyperlink" Target="https://www.tindie.com/products/bong69/8-port-led-distro" TargetMode="External"/><Relationship Id="rId27" Type="http://schemas.openxmlformats.org/officeDocument/2006/relationships/hyperlink" Target="https://www.tindie.com/products/bong69/8-port-led-distro" TargetMode="External"/><Relationship Id="rId29" Type="http://schemas.openxmlformats.org/officeDocument/2006/relationships/hyperlink" Target="https://baldrickboard.com/" TargetMode="External"/><Relationship Id="rId11" Type="http://schemas.openxmlformats.org/officeDocument/2006/relationships/hyperlink" Target="https://www.advateklights.com/pixlite-a4-s-mk3" TargetMode="External"/><Relationship Id="rId10" Type="http://schemas.openxmlformats.org/officeDocument/2006/relationships/hyperlink" Target="https://www.advateklights.com/downloads/datasheets/pixlite-a4-s-mk3" TargetMode="External"/><Relationship Id="rId13" Type="http://schemas.openxmlformats.org/officeDocument/2006/relationships/hyperlink" Target="https://www.advateklights.com/pixlite-4-mk2-rugged" TargetMode="External"/><Relationship Id="rId12" Type="http://schemas.openxmlformats.org/officeDocument/2006/relationships/hyperlink" Target="https://www.advateklights.com/pixlite-4-mk2-rugged" TargetMode="External"/><Relationship Id="rId15" Type="http://schemas.openxmlformats.org/officeDocument/2006/relationships/hyperlink" Target="https://www.advateklights.com/pixlite-16-mk2-control-board" TargetMode="External"/><Relationship Id="rId198" Type="http://schemas.openxmlformats.org/officeDocument/2006/relationships/hyperlink" Target="https://www.tindie.com/products/k7bbr/wasatch-pixels-mini-eight-port-led-controller/" TargetMode="External"/><Relationship Id="rId14" Type="http://schemas.openxmlformats.org/officeDocument/2006/relationships/hyperlink" Target="https://www.advateklights.com/pixlite-16-mk2-long-range-control-board" TargetMode="External"/><Relationship Id="rId197" Type="http://schemas.openxmlformats.org/officeDocument/2006/relationships/hyperlink" Target="https://wallyslights.com/products/wallys-lights-wb1616-controller?_pos=3&amp;_psq=wb1616&amp;_ss=e&amp;_v=1.0" TargetMode="External"/><Relationship Id="rId17" Type="http://schemas.openxmlformats.org/officeDocument/2006/relationships/hyperlink" Target="https://www.advateklights.com/pixlite-mk3-e-series-2022" TargetMode="External"/><Relationship Id="rId196" Type="http://schemas.openxmlformats.org/officeDocument/2006/relationships/hyperlink" Target="https://wallyslights.com/products/wallys-lights-wb1616-controller?_pos=3&amp;_psq=wb1616&amp;_ss=e&amp;_v=1.0" TargetMode="External"/><Relationship Id="rId16" Type="http://schemas.openxmlformats.org/officeDocument/2006/relationships/hyperlink" Target="https://www.advateklights.com/pixlite-16-mk2-plug-and-play" TargetMode="External"/><Relationship Id="rId195" Type="http://schemas.openxmlformats.org/officeDocument/2006/relationships/hyperlink" Target="https://www.visualproductions.nl/products/spinode" TargetMode="External"/><Relationship Id="rId19" Type="http://schemas.openxmlformats.org/officeDocument/2006/relationships/hyperlink" Target="https://www.advateklights.com/pixlite-mk3-e-series-2022" TargetMode="External"/><Relationship Id="rId18" Type="http://schemas.openxmlformats.org/officeDocument/2006/relationships/hyperlink" Target="https://www.advateklights.com/pixlite-e4-s-mk3" TargetMode="External"/><Relationship Id="rId199" Type="http://schemas.openxmlformats.org/officeDocument/2006/relationships/hyperlink" Target="https://www.tindie.com/products/k7bbr/wasatch-pixels-mini-eight-port-led-controller/" TargetMode="External"/><Relationship Id="rId84" Type="http://schemas.openxmlformats.org/officeDocument/2006/relationships/hyperlink" Target="https://www.tindie.com/products/giovannicas/esp32-wled-controller-8chan" TargetMode="External"/><Relationship Id="rId83" Type="http://schemas.openxmlformats.org/officeDocument/2006/relationships/hyperlink" Target="https://www.germanlightproducts.com/product/pp4-pixel-led-tape-drivers/" TargetMode="External"/><Relationship Id="rId86" Type="http://schemas.openxmlformats.org/officeDocument/2006/relationships/hyperlink" Target="https://go3d.fr/produit/carte-de-controle-pour-led-pixels-eth032f/" TargetMode="External"/><Relationship Id="rId85" Type="http://schemas.openxmlformats.org/officeDocument/2006/relationships/hyperlink" Target="https://www.tindie.com/products/giovannicas/esp32-wled-controller-8chan/?pt=ac_prod_search" TargetMode="External"/><Relationship Id="rId88" Type="http://schemas.openxmlformats.org/officeDocument/2006/relationships/hyperlink" Target="https://go3d.fr/produit/controleur-de-pixels-fp48f/" TargetMode="External"/><Relationship Id="rId150" Type="http://schemas.openxmlformats.org/officeDocument/2006/relationships/hyperlink" Target="https://pixelcontroller.com/store/products/48-f16v3.html" TargetMode="External"/><Relationship Id="rId87" Type="http://schemas.openxmlformats.org/officeDocument/2006/relationships/hyperlink" Target="https://go3d.fr/produit/carte-de-controle-pour-led-pixels-eth032f/" TargetMode="External"/><Relationship Id="rId89" Type="http://schemas.openxmlformats.org/officeDocument/2006/relationships/hyperlink" Target="https://go3d.fr/produit/controleur-de-pixels-fp48f/" TargetMode="External"/><Relationship Id="rId80" Type="http://schemas.openxmlformats.org/officeDocument/2006/relationships/hyperlink" Target="https://experiencelights.com/genius-pro-32-port-controller/" TargetMode="External"/><Relationship Id="rId82" Type="http://schemas.openxmlformats.org/officeDocument/2006/relationships/hyperlink" Target="https://www.germanlightproducts.com/product/pp4-pixel-led-tape-drivers/" TargetMode="External"/><Relationship Id="rId81" Type="http://schemas.openxmlformats.org/officeDocument/2006/relationships/hyperlink" Target="https://experiencelights.com/genius-pro-32-port-controller/"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pixelcontroller.com/store/index.php?id_product=52&amp;controller=product" TargetMode="External"/><Relationship Id="rId4" Type="http://schemas.openxmlformats.org/officeDocument/2006/relationships/hyperlink" Target="https://kno.wled.ge/" TargetMode="External"/><Relationship Id="rId148" Type="http://schemas.openxmlformats.org/officeDocument/2006/relationships/hyperlink" Target="https://www.pixelcontroller.com/store/index.php?id_product=51&amp;controller=product" TargetMode="External"/><Relationship Id="rId9" Type="http://schemas.openxmlformats.org/officeDocument/2006/relationships/hyperlink" Target="https://www.advateklights.com/pixlite-4-mk2-control-board" TargetMode="External"/><Relationship Id="rId143" Type="http://schemas.openxmlformats.org/officeDocument/2006/relationships/hyperlink" Target="https://store.nledshop.com/index.php/nled-pixel-controller-mini-ws2801-ws2811-ws2812-lpd8806-more.html" TargetMode="External"/><Relationship Id="rId142" Type="http://schemas.openxmlformats.org/officeDocument/2006/relationships/hyperlink" Target="https://www.microcyb.com/index.html" TargetMode="External"/><Relationship Id="rId141" Type="http://schemas.openxmlformats.org/officeDocument/2006/relationships/hyperlink" Target="https://www.microcyb.com/index.html" TargetMode="External"/><Relationship Id="rId140" Type="http://schemas.openxmlformats.org/officeDocument/2006/relationships/hyperlink" Target="https://www.microcyb.com/index.html" TargetMode="External"/><Relationship Id="rId5" Type="http://schemas.openxmlformats.org/officeDocument/2006/relationships/hyperlink" Target="https://www.digitaltape.co.uk/apd-2-500-12v-art" TargetMode="External"/><Relationship Id="rId147" Type="http://schemas.openxmlformats.org/officeDocument/2006/relationships/hyperlink" Target="https://pixblasters.com/products/ms1-controller/" TargetMode="External"/><Relationship Id="rId6" Type="http://schemas.openxmlformats.org/officeDocument/2006/relationships/hyperlink" Target="https://www.digitaltape.co.uk/pixel-drivers" TargetMode="External"/><Relationship Id="rId146" Type="http://schemas.openxmlformats.org/officeDocument/2006/relationships/hyperlink" Target="https://www.tindie.com/products/tinicuro/lightkraken/" TargetMode="External"/><Relationship Id="rId7" Type="http://schemas.openxmlformats.org/officeDocument/2006/relationships/hyperlink" Target="https://github.com/scanlime/fadecandy" TargetMode="External"/><Relationship Id="rId145" Type="http://schemas.openxmlformats.org/officeDocument/2006/relationships/hyperlink" Target="https://www.lightkraken.net/" TargetMode="External"/><Relationship Id="rId8" Type="http://schemas.openxmlformats.org/officeDocument/2006/relationships/hyperlink" Target="https://www.adafruit.com/product/1689" TargetMode="External"/><Relationship Id="rId144" Type="http://schemas.openxmlformats.org/officeDocument/2006/relationships/hyperlink" Target="https://store.nledshop.com/index.php/nled-pixel-controller-electron-flow-toys-wearables.html" TargetMode="External"/><Relationship Id="rId73" Type="http://schemas.openxmlformats.org/officeDocument/2006/relationships/hyperlink" Target="https://www.enttec.com.au/product/lighting-show-controller/din-pixie-2-universe-dmx-to-led-pixel-converter-controller/" TargetMode="External"/><Relationship Id="rId72" Type="http://schemas.openxmlformats.org/officeDocument/2006/relationships/hyperlink" Target="https://www.enttec.com.au/product/lighting-show-controller/din-pixie-2-universe-dmx-to-led-pixel-converter-controller/" TargetMode="External"/><Relationship Id="rId75" Type="http://schemas.openxmlformats.org/officeDocument/2006/relationships/hyperlink" Target="https://www.enttec.com/product/addressable-led-pixel-control/led-pixel-controller/" TargetMode="External"/><Relationship Id="rId74" Type="http://schemas.openxmlformats.org/officeDocument/2006/relationships/hyperlink" Target="https://www.enttec.com/product/addressable-led-pixel-control/led-pixel-controller/" TargetMode="External"/><Relationship Id="rId77" Type="http://schemas.openxmlformats.org/officeDocument/2006/relationships/hyperlink" Target="https://www.enttec.com/product/controls/addressable-led-pixel-control/din-rail-ethernet-pixel-converter/" TargetMode="External"/><Relationship Id="rId76" Type="http://schemas.openxmlformats.org/officeDocument/2006/relationships/hyperlink" Target="https://www.enttec.com/product/din/led-pixel-control-din-rail/din-rail-led-pixel-controller/" TargetMode="External"/><Relationship Id="rId79" Type="http://schemas.openxmlformats.org/officeDocument/2006/relationships/hyperlink" Target="https://experiencelights.com/long-range-genius-pixel-controller/" TargetMode="External"/><Relationship Id="rId78" Type="http://schemas.openxmlformats.org/officeDocument/2006/relationships/hyperlink" Target="https://experiencelights.com/long-range-genius-pixel-controller/" TargetMode="External"/><Relationship Id="rId71" Type="http://schemas.openxmlformats.org/officeDocument/2006/relationships/hyperlink" Target="https://www.empdesigns.co.uk/portfolio-item/poe-pixel-controller/" TargetMode="External"/><Relationship Id="rId70" Type="http://schemas.openxmlformats.org/officeDocument/2006/relationships/hyperlink" Target="https://www.empdesigns.co.uk/portfolio-item/poe-pixel-controller/" TargetMode="External"/><Relationship Id="rId139" Type="http://schemas.openxmlformats.org/officeDocument/2006/relationships/hyperlink" Target="https://www.microcyb.com/index.html" TargetMode="External"/><Relationship Id="rId138" Type="http://schemas.openxmlformats.org/officeDocument/2006/relationships/hyperlink" Target="https://espartstick.ecwid.com/M4-PI-Raspberry-Pi-4-Port-Pixel-controller-p468426786" TargetMode="External"/><Relationship Id="rId137" Type="http://schemas.openxmlformats.org/officeDocument/2006/relationships/hyperlink" Target="https://espartstick.ecwid.com/M4-PI-Raspberry-Pi-4-Port-Pixel-controller-p468426786" TargetMode="External"/><Relationship Id="rId132" Type="http://schemas.openxmlformats.org/officeDocument/2006/relationships/hyperlink" Target="https://magwled.com/" TargetMode="External"/><Relationship Id="rId131" Type="http://schemas.openxmlformats.org/officeDocument/2006/relationships/hyperlink" Target="https://magwled.com/" TargetMode="External"/><Relationship Id="rId130" Type="http://schemas.openxmlformats.org/officeDocument/2006/relationships/hyperlink" Target="https://luminxa.com/" TargetMode="External"/><Relationship Id="rId136" Type="http://schemas.openxmlformats.org/officeDocument/2006/relationships/hyperlink" Target="https://www.microcyb.com/index.html" TargetMode="External"/><Relationship Id="rId135" Type="http://schemas.openxmlformats.org/officeDocument/2006/relationships/hyperlink" Target="https://www.microcyb.com/index.html" TargetMode="External"/><Relationship Id="rId134" Type="http://schemas.openxmlformats.org/officeDocument/2006/relationships/hyperlink" Target="https://microcyb.com/" TargetMode="External"/><Relationship Id="rId133" Type="http://schemas.openxmlformats.org/officeDocument/2006/relationships/hyperlink" Target="http://microcyb.com/" TargetMode="External"/><Relationship Id="rId62" Type="http://schemas.openxmlformats.org/officeDocument/2006/relationships/hyperlink" Target="https://www.crowdsupply.com/hencke-technologies/pixelblaze-v3" TargetMode="External"/><Relationship Id="rId61" Type="http://schemas.openxmlformats.org/officeDocument/2006/relationships/hyperlink" Target="https://shop.electromage.com/products/pixelblaze-output-expander-serial-to-8x-ws2812-apa102-driver" TargetMode="External"/><Relationship Id="rId64" Type="http://schemas.openxmlformats.org/officeDocument/2006/relationships/hyperlink" Target="https://shop.electromage.com/products/pixelblaze-pro-output-expander-pro-8x-ws2812-apa102-led-driver" TargetMode="External"/><Relationship Id="rId63" Type="http://schemas.openxmlformats.org/officeDocument/2006/relationships/hyperlink" Target="https://electromage.com/pixelblaze" TargetMode="External"/><Relationship Id="rId66" Type="http://schemas.openxmlformats.org/officeDocument/2006/relationships/hyperlink" Target="https://www.ebay.com/itm/321934091091" TargetMode="External"/><Relationship Id="rId172" Type="http://schemas.openxmlformats.org/officeDocument/2006/relationships/hyperlink" Target="https://www.rocketlife.com/technology/" TargetMode="External"/><Relationship Id="rId65" Type="http://schemas.openxmlformats.org/officeDocument/2006/relationships/hyperlink" Target="https://www.enttec.com/product/din/led-pixel-control-din-rail/din-rail-led-pixel-controller/" TargetMode="External"/><Relationship Id="rId171" Type="http://schemas.openxmlformats.org/officeDocument/2006/relationships/hyperlink" Target="https://quinled.info/quinled-dig-octa/" TargetMode="External"/><Relationship Id="rId68" Type="http://schemas.openxmlformats.org/officeDocument/2006/relationships/hyperlink" Target="https://www.empdesigns.co.uk/portfolio-item/16-universe-led-pixel-controller/" TargetMode="External"/><Relationship Id="rId170" Type="http://schemas.openxmlformats.org/officeDocument/2006/relationships/hyperlink" Target="https://quinled.info/quinled-dig-octa/" TargetMode="External"/><Relationship Id="rId67" Type="http://schemas.openxmlformats.org/officeDocument/2006/relationships/hyperlink" Target="https://www.ebay.co.uk/itm/ArtNet-to-pixel-sACN-ArtNet-SPI-WS2811-12-WS2801-SM16703-GS8208-WS2815/221181172896" TargetMode="External"/><Relationship Id="rId60" Type="http://schemas.openxmlformats.org/officeDocument/2006/relationships/hyperlink" Target="https://www.boutique-electroconcept.com/micro-sd-player-digiled-strip-ou-dmx-512.html" TargetMode="External"/><Relationship Id="rId165" Type="http://schemas.openxmlformats.org/officeDocument/2006/relationships/hyperlink" Target="https://quinled.info/quinled-dig-uno/" TargetMode="External"/><Relationship Id="rId69" Type="http://schemas.openxmlformats.org/officeDocument/2006/relationships/hyperlink" Target="https://www.empdesigns.co.uk/portfolio-item/16-universe-led-pixel-controller/" TargetMode="External"/><Relationship Id="rId164" Type="http://schemas.openxmlformats.org/officeDocument/2006/relationships/hyperlink" Target="https://quinled.info/quinled-dig-uno/" TargetMode="External"/><Relationship Id="rId163" Type="http://schemas.openxmlformats.org/officeDocument/2006/relationships/hyperlink" Target="https://www.protopixel.io/pricing" TargetMode="External"/><Relationship Id="rId162" Type="http://schemas.openxmlformats.org/officeDocument/2006/relationships/hyperlink" Target="https://www.protopixel.io/" TargetMode="External"/><Relationship Id="rId169" Type="http://schemas.openxmlformats.org/officeDocument/2006/relationships/hyperlink" Target="https://quinled.info/quinled-dig-quad/" TargetMode="External"/><Relationship Id="rId168" Type="http://schemas.openxmlformats.org/officeDocument/2006/relationships/hyperlink" Target="https://quinled.info/quinled-dig-quad/" TargetMode="External"/><Relationship Id="rId167" Type="http://schemas.openxmlformats.org/officeDocument/2006/relationships/hyperlink" Target="https://dig2go.info/" TargetMode="External"/><Relationship Id="rId166" Type="http://schemas.openxmlformats.org/officeDocument/2006/relationships/hyperlink" Target="https://dig2go.info/" TargetMode="External"/><Relationship Id="rId51" Type="http://schemas.openxmlformats.org/officeDocument/2006/relationships/hyperlink" Target="https://dmxking.com/led-pixel-control/ledmx2-max" TargetMode="External"/><Relationship Id="rId50" Type="http://schemas.openxmlformats.org/officeDocument/2006/relationships/hyperlink" Target="https://shop.dmx4all.de/en/dmx4all-products/magiarled-solutions/magiarled-controller/artnet-twinpixx-16.html" TargetMode="External"/><Relationship Id="rId53" Type="http://schemas.openxmlformats.org/officeDocument/2006/relationships/hyperlink" Target="https://dmxking.com/led-pixel-control/ledmx4-max" TargetMode="External"/><Relationship Id="rId52" Type="http://schemas.openxmlformats.org/officeDocument/2006/relationships/hyperlink" Target="https://dmxking.com/led-pixel-control/ledmx4-max" TargetMode="External"/><Relationship Id="rId55" Type="http://schemas.openxmlformats.org/officeDocument/2006/relationships/hyperlink" Target="https://www.elationlighting.com/flex-pixel-driver-1" TargetMode="External"/><Relationship Id="rId161" Type="http://schemas.openxmlformats.org/officeDocument/2006/relationships/hyperlink" Target="https://www.protopixel.io/pricing" TargetMode="External"/><Relationship Id="rId54" Type="http://schemas.openxmlformats.org/officeDocument/2006/relationships/hyperlink" Target="https://dmxking.com/led-pixel-control/ledmx4-max" TargetMode="External"/><Relationship Id="rId160" Type="http://schemas.openxmlformats.org/officeDocument/2006/relationships/hyperlink" Target="https://www.protopixel.io/" TargetMode="External"/><Relationship Id="rId57" Type="http://schemas.openxmlformats.org/officeDocument/2006/relationships/hyperlink" Target="https://www.boutique-electroconcept.com/dmx-signal-board-for-ledstrip-digital-ws2812-and-compatible-to-be-welded.html" TargetMode="External"/><Relationship Id="rId56" Type="http://schemas.openxmlformats.org/officeDocument/2006/relationships/hyperlink" Target="https://www.boutique-electroconcept.com/dmx-signal-board-for-ledstrip-digital-ws2812-and-compatible-to-be-welded.html" TargetMode="External"/><Relationship Id="rId159" Type="http://schemas.openxmlformats.org/officeDocument/2006/relationships/hyperlink" Target="https://www.protopixel.io/pricing" TargetMode="External"/><Relationship Id="rId59" Type="http://schemas.openxmlformats.org/officeDocument/2006/relationships/hyperlink" Target="https://www.boutique-electroconcept.com/information/downloads.html" TargetMode="External"/><Relationship Id="rId154" Type="http://schemas.openxmlformats.org/officeDocument/2006/relationships/hyperlink" Target="https://pixnetcontrol.com/" TargetMode="External"/><Relationship Id="rId58" Type="http://schemas.openxmlformats.org/officeDocument/2006/relationships/hyperlink" Target="https://www.boutique-electroconcept.com/micro-sd-player-digiled-strip-ou-dmx-512.html" TargetMode="External"/><Relationship Id="rId153" Type="http://schemas.openxmlformats.org/officeDocument/2006/relationships/hyperlink" Target="https://pixnetcontrol.com/products/pixnet-4-2/" TargetMode="External"/><Relationship Id="rId152" Type="http://schemas.openxmlformats.org/officeDocument/2006/relationships/hyperlink" Target="https://pixelcontroller.com/store/diy-controllers/85-F-Test.html" TargetMode="External"/><Relationship Id="rId151" Type="http://schemas.openxmlformats.org/officeDocument/2006/relationships/hyperlink" Target="https://pixelcontroller.com/store/products/70-f16v4.html" TargetMode="External"/><Relationship Id="rId158" Type="http://schemas.openxmlformats.org/officeDocument/2006/relationships/hyperlink" Target="https://www.protopixel.io/" TargetMode="External"/><Relationship Id="rId157" Type="http://schemas.openxmlformats.org/officeDocument/2006/relationships/hyperlink" Target="https://glowbrightly.io/" TargetMode="External"/><Relationship Id="rId156" Type="http://schemas.openxmlformats.org/officeDocument/2006/relationships/hyperlink" Target="https://glowbrightly.io/" TargetMode="External"/><Relationship Id="rId155" Type="http://schemas.openxmlformats.org/officeDocument/2006/relationships/hyperlink" Target="http://pixout.lighting/" TargetMode="External"/><Relationship Id="rId107" Type="http://schemas.openxmlformats.org/officeDocument/2006/relationships/hyperlink" Target="https://www.amazon.com/dp/B09XB4QTGT" TargetMode="External"/><Relationship Id="rId106" Type="http://schemas.openxmlformats.org/officeDocument/2006/relationships/hyperlink" Target="https://www.amazon.com/dp/B09XB4QTGT" TargetMode="External"/><Relationship Id="rId105" Type="http://schemas.openxmlformats.org/officeDocument/2006/relationships/hyperlink" Target="https://kulplights.com/product/k32a-b/" TargetMode="External"/><Relationship Id="rId104" Type="http://schemas.openxmlformats.org/officeDocument/2006/relationships/hyperlink" Target="https://kulplights.com/product/k32a-b/" TargetMode="External"/><Relationship Id="rId109" Type="http://schemas.openxmlformats.org/officeDocument/2006/relationships/hyperlink" Target="https://kulplights.com/product/k64d-b/" TargetMode="External"/><Relationship Id="rId108" Type="http://schemas.openxmlformats.org/officeDocument/2006/relationships/hyperlink" Target="https://kulplights.com/product/k64d-b/" TargetMode="External"/><Relationship Id="rId103" Type="http://schemas.openxmlformats.org/officeDocument/2006/relationships/hyperlink" Target="https://kulplights.com/product/k16a-b/" TargetMode="External"/><Relationship Id="rId102" Type="http://schemas.openxmlformats.org/officeDocument/2006/relationships/hyperlink" Target="https://kulplights.com/product/k16a-b/" TargetMode="External"/><Relationship Id="rId101" Type="http://schemas.openxmlformats.org/officeDocument/2006/relationships/hyperlink" Target="https://kulplights.com/product/k8-b/" TargetMode="External"/><Relationship Id="rId100" Type="http://schemas.openxmlformats.org/officeDocument/2006/relationships/hyperlink" Target="https://kulplights.com/product/k8-b/" TargetMode="External"/><Relationship Id="rId129" Type="http://schemas.openxmlformats.org/officeDocument/2006/relationships/hyperlink" Target="https://luminxa.com/" TargetMode="External"/><Relationship Id="rId128" Type="http://schemas.openxmlformats.org/officeDocument/2006/relationships/hyperlink" Target="https://www.lumikit.com.br/international" TargetMode="External"/><Relationship Id="rId127" Type="http://schemas.openxmlformats.org/officeDocument/2006/relationships/hyperlink" Target="https://www.ledstripstudio.com/download/tech-specs/POWERED_LEC_tech_specs.pdf" TargetMode="External"/><Relationship Id="rId126" Type="http://schemas.openxmlformats.org/officeDocument/2006/relationships/hyperlink" Target="https://www.ledstripstudio.com/download/LEC3HardwareManual.pdf%20%205%20years%20warranty" TargetMode="External"/><Relationship Id="rId121" Type="http://schemas.openxmlformats.org/officeDocument/2006/relationships/hyperlink" Target="https://tlslighting.co.uk/product/spi-matrix-lite-led-strip-studio-art-net-to-spi-stand-alone-spi-controller/" TargetMode="External"/><Relationship Id="rId120" Type="http://schemas.openxmlformats.org/officeDocument/2006/relationships/hyperlink" Target="https://www.ledstripstudio.com/download/LEC3HardwareManual.pdf%20%205%20years%20warranty" TargetMode="External"/><Relationship Id="rId125" Type="http://schemas.openxmlformats.org/officeDocument/2006/relationships/hyperlink" Target="https://ledstripstudio.com/shop/product/led-ethernet-controller-powered/" TargetMode="External"/><Relationship Id="rId124" Type="http://schemas.openxmlformats.org/officeDocument/2006/relationships/hyperlink" Target="https://ledstripstudio.com/shop/product/led-ethernet-controller-3/" TargetMode="External"/><Relationship Id="rId123" Type="http://schemas.openxmlformats.org/officeDocument/2006/relationships/hyperlink" Target="https://www.ledstripstudio.com/download/LEC3HardwareManual.pdf%20%205%20years%20warranty" TargetMode="External"/><Relationship Id="rId122" Type="http://schemas.openxmlformats.org/officeDocument/2006/relationships/hyperlink" Target="https://ledstripstudio.com/shop/product/led-ethernet-controller-3/?attribute_pa_size=1024-pixels" TargetMode="External"/><Relationship Id="rId95" Type="http://schemas.openxmlformats.org/officeDocument/2006/relationships/hyperlink" Target="https://kulplights.com/product/k4-pb/" TargetMode="External"/><Relationship Id="rId94" Type="http://schemas.openxmlformats.org/officeDocument/2006/relationships/hyperlink" Target="https://kulplights.com/product/k4-pb/" TargetMode="External"/><Relationship Id="rId97" Type="http://schemas.openxmlformats.org/officeDocument/2006/relationships/hyperlink" Target="https://kulplights.com/product/k8-pb/" TargetMode="External"/><Relationship Id="rId96" Type="http://schemas.openxmlformats.org/officeDocument/2006/relationships/hyperlink" Target="https://kulplights.com/product/k8-pb/" TargetMode="External"/><Relationship Id="rId99" Type="http://schemas.openxmlformats.org/officeDocument/2006/relationships/hyperlink" Target="https://kulplights.com/product/k40d-pb/" TargetMode="External"/><Relationship Id="rId98" Type="http://schemas.openxmlformats.org/officeDocument/2006/relationships/hyperlink" Target="https://kulplights.com/product/k40d-pb/" TargetMode="External"/><Relationship Id="rId91" Type="http://schemas.openxmlformats.org/officeDocument/2006/relationships/hyperlink" Target="https://hackaday.io/project/161054-thunder-pack" TargetMode="External"/><Relationship Id="rId90" Type="http://schemas.openxmlformats.org/officeDocument/2006/relationships/hyperlink" Target="https://www.holidaycoro.com/Flex-Modular-Lighting-Controller-System-p/951.htm" TargetMode="External"/><Relationship Id="rId93" Type="http://schemas.openxmlformats.org/officeDocument/2006/relationships/hyperlink" Target="https://kulplights.com/product/k2-pi0/" TargetMode="External"/><Relationship Id="rId92" Type="http://schemas.openxmlformats.org/officeDocument/2006/relationships/hyperlink" Target="https://www.tindie.com/stores/jeremy/" TargetMode="External"/><Relationship Id="rId118" Type="http://schemas.openxmlformats.org/officeDocument/2006/relationships/hyperlink" Target="https://ledstripstudio.com/gaming/" TargetMode="External"/><Relationship Id="rId117" Type="http://schemas.openxmlformats.org/officeDocument/2006/relationships/hyperlink" Target="https://reactivo.lighting/first-touch/%20Screen%20grabber,%20WEB%20interface,%20APP,%20Software,%20Sensors,%20Triggers%20management" TargetMode="External"/><Relationship Id="rId116" Type="http://schemas.openxmlformats.org/officeDocument/2006/relationships/hyperlink" Target="https://ledstripstudio.com/gaming/" TargetMode="External"/><Relationship Id="rId115" Type="http://schemas.openxmlformats.org/officeDocument/2006/relationships/hyperlink" Target="https://ledstripstudio.com/spi-led-controller/" TargetMode="External"/><Relationship Id="rId119" Type="http://schemas.openxmlformats.org/officeDocument/2006/relationships/hyperlink" Target="https://ledstripstudio.com/art-net-to-spi-decoder/" TargetMode="External"/><Relationship Id="rId110" Type="http://schemas.openxmlformats.org/officeDocument/2006/relationships/hyperlink" Target="https://kulplights.com/product/k128d-b/" TargetMode="External"/><Relationship Id="rId114" Type="http://schemas.openxmlformats.org/officeDocument/2006/relationships/hyperlink" Target="https://www.ledstripstudio.com/download/tech-specs/SPI_LED_Controller_tech_specs.pdf" TargetMode="External"/><Relationship Id="rId113" Type="http://schemas.openxmlformats.org/officeDocument/2006/relationships/hyperlink" Target="https://ledstripstudio.com/spi-led-controller/" TargetMode="External"/><Relationship Id="rId112" Type="http://schemas.openxmlformats.org/officeDocument/2006/relationships/hyperlink" Target="https://kurtcontrollers.com/?product=pb-complete-controller" TargetMode="External"/><Relationship Id="rId111" Type="http://schemas.openxmlformats.org/officeDocument/2006/relationships/hyperlink" Target="https://kulplights.com/product/k128d-b/" TargetMode="External"/><Relationship Id="rId206" Type="http://schemas.openxmlformats.org/officeDocument/2006/relationships/vmlDrawing" Target="../drawings/vmlDrawing3.vml"/><Relationship Id="rId205" Type="http://schemas.openxmlformats.org/officeDocument/2006/relationships/drawing" Target="../drawings/drawing3.xml"/><Relationship Id="rId204" Type="http://schemas.openxmlformats.org/officeDocument/2006/relationships/hyperlink" Target="http://doityourselfchristmas.com/forums/showthread.php?53296-FPP-PB16-Pixel-Controlleri" TargetMode="External"/><Relationship Id="rId203" Type="http://schemas.openxmlformats.org/officeDocument/2006/relationships/hyperlink" Target="https://yarilo.pro/en/controllers/pixel-controllers/yarilo-pixeldin" TargetMode="External"/><Relationship Id="rId202" Type="http://schemas.openxmlformats.org/officeDocument/2006/relationships/hyperlink" Target="https://yarilo.pro/en/controllers/pixel-controllers/yarilo-pixeldin" TargetMode="External"/><Relationship Id="rId201" Type="http://schemas.openxmlformats.org/officeDocument/2006/relationships/hyperlink" Target="https://www.winterlights.in/product-page/orange-pro-plus-32-48000-pixel-controller" TargetMode="External"/><Relationship Id="rId200" Type="http://schemas.openxmlformats.org/officeDocument/2006/relationships/hyperlink" Target="https://www.winterlights.in/product-page/orange-pro-plus-32-48000-pixel-controller"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rose-lighting.com/wp-content/uploads/sites/53/2019/10/0000155-1.pdf" TargetMode="External"/><Relationship Id="rId42" Type="http://schemas.openxmlformats.org/officeDocument/2006/relationships/hyperlink" Target="http://www.newstar-ledstrip.com/product/20190710114547839.pdf" TargetMode="External"/><Relationship Id="rId41" Type="http://schemas.openxmlformats.org/officeDocument/2006/relationships/hyperlink" Target="https://www.advateklights.com/knowledge-base/hd107s" TargetMode="External"/><Relationship Id="rId44" Type="http://schemas.openxmlformats.org/officeDocument/2006/relationships/hyperlink" Target="https://www.pololu.com/file/0J1234/sk9822_datasheet.pdf" TargetMode="External"/><Relationship Id="rId43" Type="http://schemas.openxmlformats.org/officeDocument/2006/relationships/hyperlink" Target="https://cpldcpu.wordpress.com/2016/12/13/sk9822-a-clone-of-the-apa102/" TargetMode="External"/><Relationship Id="rId46" Type="http://schemas.openxmlformats.org/officeDocument/2006/relationships/hyperlink" Target="https://datasheet.lcsc.com/szlcsc/2012110135_Worldsemi-WS2816B-2121_C965560.pdf" TargetMode="External"/><Relationship Id="rId45" Type="http://schemas.openxmlformats.org/officeDocument/2006/relationships/hyperlink" Target="https://www.advateklights.com/knowledge-base/sk9822" TargetMode="External"/><Relationship Id="rId48" Type="http://schemas.openxmlformats.org/officeDocument/2006/relationships/hyperlink" Target="https://www.rose-lighting.com/wp-content/uploads/sites/53/2021/03/HD108-5050-LED-Specificaion-V1.1.0-Rose-Lighting.pdf" TargetMode="External"/><Relationship Id="rId47" Type="http://schemas.openxmlformats.org/officeDocument/2006/relationships/hyperlink" Target="https://www.hd108-led.com/product-category/hd108-led-chip/" TargetMode="External"/><Relationship Id="rId49" Type="http://schemas.openxmlformats.org/officeDocument/2006/relationships/hyperlink" Target="https://www.advateklights.com/knowledge-base/hd108" TargetMode="External"/><Relationship Id="rId31" Type="http://schemas.openxmlformats.org/officeDocument/2006/relationships/hyperlink" Target="https://www.advateklights.com/knowledge-base/ws2815" TargetMode="External"/><Relationship Id="rId30" Type="http://schemas.openxmlformats.org/officeDocument/2006/relationships/hyperlink" Target="http://newstar-ledstrip.com/product/20180125101420006.pdf" TargetMode="External"/><Relationship Id="rId33" Type="http://schemas.openxmlformats.org/officeDocument/2006/relationships/hyperlink" Target="https://cdn-shop.adafruit.com/datasheets/APA102.pdf" TargetMode="External"/><Relationship Id="rId32" Type="http://schemas.openxmlformats.org/officeDocument/2006/relationships/hyperlink" Target="http://neon-world.com/en/product_detail.php?cid=59&amp;id=167" TargetMode="External"/><Relationship Id="rId35" Type="http://schemas.openxmlformats.org/officeDocument/2006/relationships/hyperlink" Target="https://cdn-shop.adafruit.com/datasheets/APA102.pdf" TargetMode="External"/><Relationship Id="rId34" Type="http://schemas.openxmlformats.org/officeDocument/2006/relationships/hyperlink" Target="https://www.advateklights.com/knowledge-base/apa102" TargetMode="External"/><Relationship Id="rId37" Type="http://schemas.openxmlformats.org/officeDocument/2006/relationships/hyperlink" Target="http://newstar-ledstrip.com/productshow816.html" TargetMode="External"/><Relationship Id="rId36" Type="http://schemas.openxmlformats.org/officeDocument/2006/relationships/hyperlink" Target="https://www.advateklights.com/knowledge-base/apa102c" TargetMode="External"/><Relationship Id="rId39" Type="http://schemas.openxmlformats.org/officeDocument/2006/relationships/hyperlink" Target="https://www.hd107s-led.com/product-category/hd107s-led-chip/" TargetMode="External"/><Relationship Id="rId38" Type="http://schemas.openxmlformats.org/officeDocument/2006/relationships/hyperlink" Target="https://www.advateklights.com/knowledge-base/apa109" TargetMode="External"/><Relationship Id="rId20" Type="http://schemas.openxmlformats.org/officeDocument/2006/relationships/hyperlink" Target="http://www.normandled.com/upload/201807/SK6813%20LED%20Datasheet.pdf" TargetMode="External"/><Relationship Id="rId22" Type="http://schemas.openxmlformats.org/officeDocument/2006/relationships/hyperlink" Target="http://www.normandled.com/upload/201907/12V%20SK6813%20LED%20Datasheet.pdf" TargetMode="External"/><Relationship Id="rId21" Type="http://schemas.openxmlformats.org/officeDocument/2006/relationships/hyperlink" Target="https://www.advateklights.com/knowledge-base/sk6813" TargetMode="External"/><Relationship Id="rId24" Type="http://schemas.openxmlformats.org/officeDocument/2006/relationships/hyperlink" Target="https://cdn-shop.adafruit.com/datasheets/WS2812.pdf" TargetMode="External"/><Relationship Id="rId23" Type="http://schemas.openxmlformats.org/officeDocument/2006/relationships/hyperlink" Target="https://www.advateklights.com/knowledge-base/sk6813" TargetMode="External"/><Relationship Id="rId26" Type="http://schemas.openxmlformats.org/officeDocument/2006/relationships/hyperlink" Target="http://newstar-ledstrip.com/productshow755.html" TargetMode="External"/><Relationship Id="rId25" Type="http://schemas.openxmlformats.org/officeDocument/2006/relationships/hyperlink" Target="https://www.advateklights.com/knowledge-base/ws2812" TargetMode="External"/><Relationship Id="rId28" Type="http://schemas.openxmlformats.org/officeDocument/2006/relationships/hyperlink" Target="https://www.advateklights.com/knowledge-base/ws2813" TargetMode="External"/><Relationship Id="rId27" Type="http://schemas.openxmlformats.org/officeDocument/2006/relationships/hyperlink" Target="http://newstar-ledstrip.com/product/20171208112004735.pdf" TargetMode="External"/><Relationship Id="rId29" Type="http://schemas.openxmlformats.org/officeDocument/2006/relationships/hyperlink" Target="http://newstar-ledstrip.com/productshow833.html" TargetMode="External"/><Relationship Id="rId11" Type="http://schemas.openxmlformats.org/officeDocument/2006/relationships/hyperlink" Target="http://addressable-led.com/UploadFile/upi/file/20190318/LC8808-LED.pdf" TargetMode="External"/><Relationship Id="rId10" Type="http://schemas.openxmlformats.org/officeDocument/2006/relationships/hyperlink" Target="https://www.advateklights.com/knowledge-base/gs8208" TargetMode="External"/><Relationship Id="rId13" Type="http://schemas.openxmlformats.org/officeDocument/2006/relationships/hyperlink" Target="http://newstar-ledstrip.com/productshow855.html" TargetMode="External"/><Relationship Id="rId12" Type="http://schemas.openxmlformats.org/officeDocument/2006/relationships/hyperlink" Target="http://newstar-ledstrip.com/productshow855.html" TargetMode="External"/><Relationship Id="rId15" Type="http://schemas.openxmlformats.org/officeDocument/2006/relationships/hyperlink" Target="https://cdn.instructables.com/ORIG/FW0/YN1X/IHDUL683/FW0YN1XIHDUL683.pdf" TargetMode="External"/><Relationship Id="rId14" Type="http://schemas.openxmlformats.org/officeDocument/2006/relationships/hyperlink" Target="https://cpldcpu.wordpress.com/2014/06/16/timing-of-ws2812-clones-pd9823/" TargetMode="External"/><Relationship Id="rId17" Type="http://schemas.openxmlformats.org/officeDocument/2006/relationships/hyperlink" Target="http://newstar-ledstrip.com/productshow751.html" TargetMode="External"/><Relationship Id="rId16" Type="http://schemas.openxmlformats.org/officeDocument/2006/relationships/hyperlink" Target="https://www.hida-led.com/lc8812b-5050-led-product/" TargetMode="External"/><Relationship Id="rId19" Type="http://schemas.openxmlformats.org/officeDocument/2006/relationships/hyperlink" Target="https://www.advateklights.com/knowledge-base/sk6812" TargetMode="External"/><Relationship Id="rId18" Type="http://schemas.openxmlformats.org/officeDocument/2006/relationships/hyperlink" Target="https://www.pololu.com/file/0J1233/sk6812_datasheet.pdf"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advateklights.com/knowledge-base/apa104" TargetMode="External"/><Relationship Id="rId9" Type="http://schemas.openxmlformats.org/officeDocument/2006/relationships/hyperlink" Target="https://www.advateklights.com/knowledge-base/cs8812" TargetMode="External"/><Relationship Id="rId5" Type="http://schemas.openxmlformats.org/officeDocument/2006/relationships/hyperlink" Target="http://www.newstar-ledstrip.com/productshow819.html" TargetMode="External"/><Relationship Id="rId6" Type="http://schemas.openxmlformats.org/officeDocument/2006/relationships/hyperlink" Target="http://www.newstar-ledstrip.com/productshow819.html" TargetMode="External"/><Relationship Id="rId7" Type="http://schemas.openxmlformats.org/officeDocument/2006/relationships/hyperlink" Target="http://www.witop-tech.com/product-item/dc12v-addressable-high-brightness-smd5050-led-chip-cs8812b/" TargetMode="External"/><Relationship Id="rId8" Type="http://schemas.openxmlformats.org/officeDocument/2006/relationships/hyperlink" Target="https://www.superlightingled.com/PDF/CS8812-LED-Chip-Datasheet.pdf" TargetMode="External"/><Relationship Id="rId62" Type="http://schemas.openxmlformats.org/officeDocument/2006/relationships/hyperlink" Target="https://github.com/sowbug/sm16716/blob/master/SM16716%20Datasheet%20%5BChinese%5D.pdf" TargetMode="External"/><Relationship Id="rId61" Type="http://schemas.openxmlformats.org/officeDocument/2006/relationships/hyperlink" Target="http://www.newstar-ledstrip.com/productshow851.html" TargetMode="External"/><Relationship Id="rId64" Type="http://schemas.openxmlformats.org/officeDocument/2006/relationships/hyperlink" Target="https://www.lcsc.com/datasheet/lcsc_datasheet_2406271507_Worldsemi-WS2815B-RGBW_C19188610.pdf" TargetMode="External"/><Relationship Id="rId63" Type="http://schemas.openxmlformats.org/officeDocument/2006/relationships/hyperlink" Target="https://www.lcsc.com/datasheet/lcsc_datasheet_2406271507_Worldsemi-WS2815B-RGBW_C19188610.pdf" TargetMode="External"/><Relationship Id="rId66" Type="http://schemas.openxmlformats.org/officeDocument/2006/relationships/vmlDrawing" Target="../drawings/vmlDrawing4.vml"/><Relationship Id="rId65" Type="http://schemas.openxmlformats.org/officeDocument/2006/relationships/drawing" Target="../drawings/drawing4.xml"/><Relationship Id="rId68" Type="http://schemas.openxmlformats.org/officeDocument/2006/relationships/table" Target="../tables/table2.xml"/><Relationship Id="rId60" Type="http://schemas.openxmlformats.org/officeDocument/2006/relationships/hyperlink" Target="https://www.advateklights.com/knowledge-base/sk6822" TargetMode="External"/><Relationship Id="rId51" Type="http://schemas.openxmlformats.org/officeDocument/2006/relationships/hyperlink" Target="http://newstar-ledstrip.com/productshow848.html" TargetMode="External"/><Relationship Id="rId50" Type="http://schemas.openxmlformats.org/officeDocument/2006/relationships/hyperlink" Target="http://newstar-ledstrip.com/productshow847.html" TargetMode="External"/><Relationship Id="rId53" Type="http://schemas.openxmlformats.org/officeDocument/2006/relationships/hyperlink" Target="http://newstar-ledstrip.com/product/20190927165451294.pdf" TargetMode="External"/><Relationship Id="rId52" Type="http://schemas.openxmlformats.org/officeDocument/2006/relationships/hyperlink" Target="http://newstar-ledstrip.com/product/20191018160652775.pdf" TargetMode="External"/><Relationship Id="rId55" Type="http://schemas.openxmlformats.org/officeDocument/2006/relationships/hyperlink" Target="https://datasheet4u.com/datasheet-pdf/ETC/APA-106/pdf.php?id=1139107" TargetMode="External"/><Relationship Id="rId54" Type="http://schemas.openxmlformats.org/officeDocument/2006/relationships/hyperlink" Target="https://datasheet4u.com/datasheet-pdf/ETC/APA-106/pdf.php?id=1139107" TargetMode="External"/><Relationship Id="rId57" Type="http://schemas.openxmlformats.org/officeDocument/2006/relationships/hyperlink" Target="http://www.szledcolor.com/product/view/id/622" TargetMode="External"/><Relationship Id="rId56" Type="http://schemas.openxmlformats.org/officeDocument/2006/relationships/hyperlink" Target="http://www.szledcolor.com/Public/editor/attached/file/20191030/LC8823%202020.pdf" TargetMode="External"/><Relationship Id="rId59" Type="http://schemas.openxmlformats.org/officeDocument/2006/relationships/hyperlink" Target="https://www.advateklights.com/knowledge-base/sk6818" TargetMode="External"/><Relationship Id="rId58" Type="http://schemas.openxmlformats.org/officeDocument/2006/relationships/hyperlink" Target="https://asset.conrad.com/media10/add/160267/c1/-/en/001575814DS01/datasheet-1575814-thomsen-strip-5m-300-rgbw-ip68-led-pasik-entrieda-a-a-e-zastrcky-zasuvka-5-v-5-m-rgbw.pdf"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dvateklights.com/knowledge-base/ucs2903" TargetMode="External"/><Relationship Id="rId42" Type="http://schemas.openxmlformats.org/officeDocument/2006/relationships/hyperlink" Target="https://www.gree-leds.com/rgbw-digital-strip/24v-ucs2904-digital-rgbw.html" TargetMode="External"/><Relationship Id="rId41" Type="http://schemas.openxmlformats.org/officeDocument/2006/relationships/hyperlink" Target="https://www.advateklights.com/knowledge-base/ucs2904" TargetMode="External"/><Relationship Id="rId44" Type="http://schemas.openxmlformats.org/officeDocument/2006/relationships/hyperlink" Target="https://www.advateklights.com/knowledge-base/ucs512B" TargetMode="External"/><Relationship Id="rId43" Type="http://schemas.openxmlformats.org/officeDocument/2006/relationships/hyperlink" Target="https://www.advateklights.com/knowledge-base/sm16704" TargetMode="External"/><Relationship Id="rId46" Type="http://schemas.openxmlformats.org/officeDocument/2006/relationships/hyperlink" Target="https://www.advateklights.com/knowledge-base/ucs8903" TargetMode="External"/><Relationship Id="rId45" Type="http://schemas.openxmlformats.org/officeDocument/2006/relationships/hyperlink" Target="https://www.dhgate.com/product/ucs8903-ic-3-channel-led-constant-current/421634760.html" TargetMode="External"/><Relationship Id="rId48" Type="http://schemas.openxmlformats.org/officeDocument/2006/relationships/hyperlink" Target="https://www.advateklights.com/knowledge-base/ucs9812" TargetMode="External"/><Relationship Id="rId47" Type="http://schemas.openxmlformats.org/officeDocument/2006/relationships/hyperlink" Target="https://www.advateklights.com/knowledge-base/ucs8904" TargetMode="External"/><Relationship Id="rId49" Type="http://schemas.openxmlformats.org/officeDocument/2006/relationships/hyperlink" Target="https://www.futurlec.com/Others/WS2801.shtml" TargetMode="External"/><Relationship Id="rId31" Type="http://schemas.openxmlformats.org/officeDocument/2006/relationships/hyperlink" Target="http://www.ledlightmake.com/ledlightmake_serv/TM1804%20Datasheet.pdf" TargetMode="External"/><Relationship Id="rId30" Type="http://schemas.openxmlformats.org/officeDocument/2006/relationships/hyperlink" Target="https://www.advateklights.com/knowledge-base/tm1803" TargetMode="External"/><Relationship Id="rId33" Type="http://schemas.openxmlformats.org/officeDocument/2006/relationships/hyperlink" Target="https://www.advateklights.com/knowledge-base/tm1809" TargetMode="External"/><Relationship Id="rId32" Type="http://schemas.openxmlformats.org/officeDocument/2006/relationships/hyperlink" Target="https://www.advateklights.com/knowledge-base/tm1804" TargetMode="External"/><Relationship Id="rId35" Type="http://schemas.openxmlformats.org/officeDocument/2006/relationships/hyperlink" Target="https://www.advateklights.com/knowledge-base/tm1814" TargetMode="External"/><Relationship Id="rId34" Type="http://schemas.openxmlformats.org/officeDocument/2006/relationships/hyperlink" Target="https://pdf1.alldatasheet.com/datasheet-pdf/view/1133653/TITAN/TM1814.html" TargetMode="External"/><Relationship Id="rId37" Type="http://schemas.openxmlformats.org/officeDocument/2006/relationships/hyperlink" Target="https://www.advateklights.com/knowledge-base/tm1914" TargetMode="External"/><Relationship Id="rId36" Type="http://schemas.openxmlformats.org/officeDocument/2006/relationships/hyperlink" Target="https://www.advateklights.com/knowledge-base/tm1829" TargetMode="External"/><Relationship Id="rId39" Type="http://schemas.openxmlformats.org/officeDocument/2006/relationships/hyperlink" Target="https://www.advateklights.com/knowledge-base/ucs1904" TargetMode="External"/><Relationship Id="rId38" Type="http://schemas.openxmlformats.org/officeDocument/2006/relationships/hyperlink" Target="https://www.advateklights.com/knowledge-base/ucs1903" TargetMode="External"/><Relationship Id="rId20" Type="http://schemas.openxmlformats.org/officeDocument/2006/relationships/hyperlink" Target="https://www.advateklights.com/knowledge-base/qed3001" TargetMode="External"/><Relationship Id="rId22" Type="http://schemas.openxmlformats.org/officeDocument/2006/relationships/hyperlink" Target="https://www.advateklights.com/knowledge-base/sk6812" TargetMode="External"/><Relationship Id="rId21" Type="http://schemas.openxmlformats.org/officeDocument/2006/relationships/hyperlink" Target="https://cdn-shop.adafruit.com/product-files/1138/SK6812+LED+datasheet+.pdf" TargetMode="External"/><Relationship Id="rId24" Type="http://schemas.openxmlformats.org/officeDocument/2006/relationships/hyperlink" Target="https://www.advateklights.com/knowledge-base/sm16511" TargetMode="External"/><Relationship Id="rId23" Type="http://schemas.openxmlformats.org/officeDocument/2006/relationships/hyperlink" Target="https://www.advateklights.com/knowledge-base/sk6818" TargetMode="External"/><Relationship Id="rId26" Type="http://schemas.openxmlformats.org/officeDocument/2006/relationships/hyperlink" Target="https://www.advateklights.com/knowledge-base/sm16712" TargetMode="External"/><Relationship Id="rId25" Type="http://schemas.openxmlformats.org/officeDocument/2006/relationships/hyperlink" Target="https://www.advateklights.com/knowledge-base/sm16703" TargetMode="External"/><Relationship Id="rId28" Type="http://schemas.openxmlformats.org/officeDocument/2006/relationships/hyperlink" Target="https://www.bestlightingbuy.com/pdf/TLS3001%20Datasheet.pdf" TargetMode="External"/><Relationship Id="rId27" Type="http://schemas.openxmlformats.org/officeDocument/2006/relationships/hyperlink" Target="https://www.advateklights.com/knowledge-base/sm16716" TargetMode="External"/><Relationship Id="rId29" Type="http://schemas.openxmlformats.org/officeDocument/2006/relationships/hyperlink" Target="https://www.advateklights.com/knowledge-base/tls3001" TargetMode="External"/><Relationship Id="rId11" Type="http://schemas.openxmlformats.org/officeDocument/2006/relationships/hyperlink" Target="https://web.archive.org/web/20180725021448/https://www.texonix.com/LPD8806.html" TargetMode="External"/><Relationship Id="rId10" Type="http://schemas.openxmlformats.org/officeDocument/2006/relationships/hyperlink" Target="https://www.advateklights.com/knowledge-base/lpd6803" TargetMode="External"/><Relationship Id="rId13" Type="http://schemas.openxmlformats.org/officeDocument/2006/relationships/hyperlink" Target="https://www.advateklights.com/knowledge-base/mbi6020" TargetMode="External"/><Relationship Id="rId12" Type="http://schemas.openxmlformats.org/officeDocument/2006/relationships/hyperlink" Target="https://www.advateklights.com/knowledge-base/lpd8806" TargetMode="External"/><Relationship Id="rId15" Type="http://schemas.openxmlformats.org/officeDocument/2006/relationships/hyperlink" Target="http://www.my-semi.com/file/MY9231_BF_0.91.pdf" TargetMode="External"/><Relationship Id="rId14" Type="http://schemas.openxmlformats.org/officeDocument/2006/relationships/hyperlink" Target="https://www.advateklights.com/knowledge-base/my9221" TargetMode="External"/><Relationship Id="rId17" Type="http://schemas.openxmlformats.org/officeDocument/2006/relationships/hyperlink" Target="http://www.my-semi.com.tw/file/MY9291_BF_0.91.pdf" TargetMode="External"/><Relationship Id="rId16" Type="http://schemas.openxmlformats.org/officeDocument/2006/relationships/hyperlink" Target="https://www.advateklights.com/knowledge-base/my9231" TargetMode="External"/><Relationship Id="rId19" Type="http://schemas.openxmlformats.org/officeDocument/2006/relationships/hyperlink" Target="https://www.advateklights.com/knowledge-base/p9813" TargetMode="External"/><Relationship Id="rId18" Type="http://schemas.openxmlformats.org/officeDocument/2006/relationships/hyperlink" Target="https://www.advateklights.com/knowledge-base/my9291"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advateklights.com/knowledge-base/dmx512" TargetMode="External"/><Relationship Id="rId9" Type="http://schemas.openxmlformats.org/officeDocument/2006/relationships/hyperlink" Target="https://cdn-shop.adafruit.com/datasheets/LPD6803.pdf" TargetMode="External"/><Relationship Id="rId5" Type="http://schemas.openxmlformats.org/officeDocument/2006/relationships/hyperlink" Target="https://www.advateklights.com/knowledge-base/gs8202" TargetMode="External"/><Relationship Id="rId6" Type="http://schemas.openxmlformats.org/officeDocument/2006/relationships/hyperlink" Target="https://www.advateklights.com/knowledge-base/gs8206" TargetMode="External"/><Relationship Id="rId7" Type="http://schemas.openxmlformats.org/officeDocument/2006/relationships/hyperlink" Target="https://www.artleds.com/images/Specs/gs8208-datasheet.pdf" TargetMode="External"/><Relationship Id="rId8" Type="http://schemas.openxmlformats.org/officeDocument/2006/relationships/hyperlink" Target="https://www.advateklights.com/knowledge-base/gs8208" TargetMode="External"/><Relationship Id="rId60" Type="http://schemas.openxmlformats.org/officeDocument/2006/relationships/table" Target="../tables/table3.xml"/><Relationship Id="rId51" Type="http://schemas.openxmlformats.org/officeDocument/2006/relationships/hyperlink" Target="https://www.lcsc.com/datasheet/lcsc_datasheet_2306301035_Worldsemi-WS2805_C5446697.pdf" TargetMode="External"/><Relationship Id="rId50" Type="http://schemas.openxmlformats.org/officeDocument/2006/relationships/hyperlink" Target="https://www.advateklights.com/knowledge-base/ws2801" TargetMode="External"/><Relationship Id="rId53" Type="http://schemas.openxmlformats.org/officeDocument/2006/relationships/hyperlink" Target="https://www.advateklights.com/knowledge-base/ws2811" TargetMode="External"/><Relationship Id="rId52" Type="http://schemas.openxmlformats.org/officeDocument/2006/relationships/hyperlink" Target="https://cdn-shop.adafruit.com/datasheets/WS2811.pdf" TargetMode="External"/><Relationship Id="rId55" Type="http://schemas.openxmlformats.org/officeDocument/2006/relationships/hyperlink" Target="https://www.advateklights.com/knowledge-base/ws2814" TargetMode="External"/><Relationship Id="rId54" Type="http://schemas.openxmlformats.org/officeDocument/2006/relationships/hyperlink" Target="https://www.advateklights.com/knowledge-base/ws2811-v1-4" TargetMode="External"/><Relationship Id="rId57" Type="http://schemas.openxmlformats.org/officeDocument/2006/relationships/drawing" Target="../drawings/drawing5.xml"/><Relationship Id="rId56" Type="http://schemas.openxmlformats.org/officeDocument/2006/relationships/hyperlink" Target="https://www.advateklights.com/knowledge-base/ws2818" TargetMode="External"/><Relationship Id="rId5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0" Type="http://schemas.openxmlformats.org/officeDocument/2006/relationships/hyperlink" Target="https://store.nledshop.com/index.php/nled-ws2811-mosfet-driver-module.html" TargetMode="External"/><Relationship Id="rId22" Type="http://schemas.openxmlformats.org/officeDocument/2006/relationships/hyperlink" Target="https://de.aliexpress.com/item/32786272573.html?spm=a2g0o.productlist.main.19.4039UqYwUqYwEq&amp;algo_pvid=8add68a7-f316-420a-88fd-aec8a96d9bd9&amp;algo_exp_id=8add68a7-f316-420a-88fd-aec8a96d9bd9-9&amp;pdp_ext_f=%7B%22order%22%3A%22100%22%2C%22eval%22%3A%221%22%7D&amp;pdp_npi=4%40dis%21EUR%212.46%210.98%21%21%212.48%210.99%21%40211b430817386563933403178e4f0f%2163365110433%21sea%21AT%210%21ABX&amp;curPageLogUid=zQTH3Os98s1N&amp;utparam-url=scene%3Asearch%7Cquery_from%3A" TargetMode="External"/><Relationship Id="rId21" Type="http://schemas.openxmlformats.org/officeDocument/2006/relationships/hyperlink" Target="https://www.freetronics.com.au/products/addressable-n-mosfet-driver-output-module" TargetMode="External"/><Relationship Id="rId24" Type="http://schemas.openxmlformats.org/officeDocument/2006/relationships/drawing" Target="../drawings/drawing6.xml"/><Relationship Id="rId23" Type="http://schemas.openxmlformats.org/officeDocument/2006/relationships/hyperlink" Target="https://de.aliexpress.com/item/32786272573.html?spm=a2g0o.productlist.main.19.4039UqYwUqYwEq&amp;algo_pvid=8add68a7-f316-420a-88fd-aec8a96d9bd9&amp;algo_exp_id=8add68a7-f316-420a-88fd-aec8a96d9bd9-9&amp;pdp_ext_f=%7B%22order%22%3A%22100%22%2C%22eval%22%3A%221%22%7D&amp;pdp_npi=4%40dis%21EUR%212.46%210.98%21%21%212.48%210.99%21%40211b430817386563933403178e4f0f%2163365110433%21sea%21AT%210%21ABX&amp;curPageLogUid=zQTH3Os98s1N&amp;utparam-url=scene%3Asearch%7Cquery_from%3A" TargetMode="External"/><Relationship Id="rId25" Type="http://schemas.openxmlformats.org/officeDocument/2006/relationships/vmlDrawing" Target="../drawings/vmlDrawing6.vml"/><Relationship Id="rId27" Type="http://schemas.openxmlformats.org/officeDocument/2006/relationships/table" Target="../tables/table4.xml"/><Relationship Id="rId11" Type="http://schemas.openxmlformats.org/officeDocument/2006/relationships/hyperlink" Target="https://www.pixel2things.com/" TargetMode="External"/><Relationship Id="rId10" Type="http://schemas.openxmlformats.org/officeDocument/2006/relationships/hyperlink" Target="https://experiencelights.com/pixel2dmx---realtime-dmx-bridge/" TargetMode="External"/><Relationship Id="rId13" Type="http://schemas.openxmlformats.org/officeDocument/2006/relationships/hyperlink" Target="https://www.tindie.com/products/essenceeng/fajardo-led-data-isolator/" TargetMode="External"/><Relationship Id="rId12" Type="http://schemas.openxmlformats.org/officeDocument/2006/relationships/hyperlink" Target="https://www.pixel2things.com/" TargetMode="External"/><Relationship Id="rId15" Type="http://schemas.openxmlformats.org/officeDocument/2006/relationships/hyperlink" Target="https://innotronix.net/PixFog-Pixel-Based-Fog-Controller-p232730399" TargetMode="External"/><Relationship Id="rId14" Type="http://schemas.openxmlformats.org/officeDocument/2006/relationships/hyperlink" Target="https://www.tindie.com/products/essenceeng/fajardo-led-data-isolator/" TargetMode="External"/><Relationship Id="rId17" Type="http://schemas.openxmlformats.org/officeDocument/2006/relationships/hyperlink" Target="https://quinled.info/dig2analog-buying-page/" TargetMode="External"/><Relationship Id="rId16" Type="http://schemas.openxmlformats.org/officeDocument/2006/relationships/hyperlink" Target="https://innotronix.net/PixFog-Pixel-Based-Fog-Controller-p232730399" TargetMode="External"/><Relationship Id="rId19" Type="http://schemas.openxmlformats.org/officeDocument/2006/relationships/hyperlink" Target="https://www.tindie.com/products/ericgu/ws2811-ws2812-extender//" TargetMode="External"/><Relationship Id="rId18" Type="http://schemas.openxmlformats.org/officeDocument/2006/relationships/hyperlink" Target="https://www.tindie.com/products/ericgu/ws2811-ws2812-extender/" TargetMode="External"/><Relationship Id="rId1" Type="http://schemas.openxmlformats.org/officeDocument/2006/relationships/comments" Target="../comments6.xml"/><Relationship Id="rId2" Type="http://schemas.openxmlformats.org/officeDocument/2006/relationships/hyperlink" Target="https://sites.google.com/site/wayneholder/besting-ben-heck" TargetMode="External"/><Relationship Id="rId3" Type="http://schemas.openxmlformats.org/officeDocument/2006/relationships/hyperlink" Target="https://sites.google.com/site/wayneholder/besting-ben-heck" TargetMode="External"/><Relationship Id="rId4" Type="http://schemas.openxmlformats.org/officeDocument/2006/relationships/hyperlink" Target="https://baldrickboard.com/docs/baldrickdmx/introduction" TargetMode="External"/><Relationship Id="rId9" Type="http://schemas.openxmlformats.org/officeDocument/2006/relationships/hyperlink" Target="https://www.tindie.com/products/yaqwsx/rb0004-neopixelbooster/" TargetMode="External"/><Relationship Id="rId5" Type="http://schemas.openxmlformats.org/officeDocument/2006/relationships/hyperlink" Target="https://baldrickboard.com/docs/category/baldrickdmx" TargetMode="External"/><Relationship Id="rId6" Type="http://schemas.openxmlformats.org/officeDocument/2006/relationships/hyperlink" Target="https://www.tindie.com/products/k7bbr/led-controller-multiplexer/" TargetMode="External"/><Relationship Id="rId7" Type="http://schemas.openxmlformats.org/officeDocument/2006/relationships/hyperlink" Target="https://www.tindie.com/products/k7bbr/led-controller-multiplexer/" TargetMode="External"/><Relationship Id="rId8" Type="http://schemas.openxmlformats.org/officeDocument/2006/relationships/hyperlink" Target="https://www.tindie.com/products/yaqwsx/rb0004-neopixelbooster/"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www.ti.com/product/SN74HC245" TargetMode="External"/><Relationship Id="rId22" Type="http://schemas.openxmlformats.org/officeDocument/2006/relationships/vmlDrawing" Target="../drawings/vmlDrawing7.vml"/><Relationship Id="rId21" Type="http://schemas.openxmlformats.org/officeDocument/2006/relationships/drawing" Target="../drawings/drawing7.xml"/><Relationship Id="rId26" Type="http://schemas.openxmlformats.org/officeDocument/2006/relationships/table" Target="../tables/table6.xml"/><Relationship Id="rId25" Type="http://schemas.openxmlformats.org/officeDocument/2006/relationships/table" Target="../tables/table5.xml"/><Relationship Id="rId11" Type="http://schemas.openxmlformats.org/officeDocument/2006/relationships/hyperlink" Target="https://www.ti.com/product/SN74LVC2T45" TargetMode="External"/><Relationship Id="rId10" Type="http://schemas.openxmlformats.org/officeDocument/2006/relationships/hyperlink" Target="https://www.microchip.com/en-us/product/TC4427" TargetMode="External"/><Relationship Id="rId13" Type="http://schemas.openxmlformats.org/officeDocument/2006/relationships/hyperlink" Target="https://www.ti.com/product/TXS0108E" TargetMode="External"/><Relationship Id="rId12" Type="http://schemas.openxmlformats.org/officeDocument/2006/relationships/hyperlink" Target="https://www.ti.com/product/SN74LVC2T45" TargetMode="External"/><Relationship Id="rId15" Type="http://schemas.openxmlformats.org/officeDocument/2006/relationships/hyperlink" Target="https://www.ti.com/product/SN74LV1T34/part-details/SN74LV1T34DBVRG4" TargetMode="External"/><Relationship Id="rId14" Type="http://schemas.openxmlformats.org/officeDocument/2006/relationships/hyperlink" Target="https://www.ti.com/product/SN74LV1T34/part-details/SN74LV1T34DBVRG4" TargetMode="External"/><Relationship Id="rId17" Type="http://schemas.openxmlformats.org/officeDocument/2006/relationships/hyperlink" Target="https://www.ti.com/product/SN74HCT244" TargetMode="External"/><Relationship Id="rId16" Type="http://schemas.openxmlformats.org/officeDocument/2006/relationships/hyperlink" Target="https://www.ti.com/product/SN74HCT244" TargetMode="External"/><Relationship Id="rId19" Type="http://schemas.openxmlformats.org/officeDocument/2006/relationships/hyperlink" Target="https://www.ti.com/product/SN74HC245" TargetMode="External"/><Relationship Id="rId18" Type="http://schemas.openxmlformats.org/officeDocument/2006/relationships/hyperlink" Target="https://www.ti.com/product/TXU0104" TargetMode="External"/><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microcyb.com/" TargetMode="External"/><Relationship Id="rId9" Type="http://schemas.openxmlformats.org/officeDocument/2006/relationships/hyperlink" Target="https://electricfiredesign.com/2021/03/12/logic-level-shifters-for-driving-led-strips/" TargetMode="External"/><Relationship Id="rId5" Type="http://schemas.openxmlformats.org/officeDocument/2006/relationships/hyperlink" Target="https://microcyb.com/" TargetMode="External"/><Relationship Id="rId6" Type="http://schemas.openxmlformats.org/officeDocument/2006/relationships/hyperlink" Target="https://www.ti.com/product/SN74AHCT125" TargetMode="External"/><Relationship Id="rId7" Type="http://schemas.openxmlformats.org/officeDocument/2006/relationships/hyperlink" Target="https://www.ti.com/product/SN74AHCT125" TargetMode="External"/><Relationship Id="rId8" Type="http://schemas.openxmlformats.org/officeDocument/2006/relationships/hyperlink" Target="https://www.microchip.com/en-us/product/TC4427"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mottramlabs.com/" TargetMode="External"/><Relationship Id="rId42" Type="http://schemas.openxmlformats.org/officeDocument/2006/relationships/hyperlink" Target="https://www.ebay.co.uk/itm/133875147448?hash=item1f2b94a2b8:g:4rAAAOSwRG1hPezJ" TargetMode="External"/><Relationship Id="rId41" Type="http://schemas.openxmlformats.org/officeDocument/2006/relationships/hyperlink" Target="https://www.ebay.co.uk/itm/133705567939?hash=item1f21790ec3:g:IAUAAOSwo5VgXL05" TargetMode="External"/><Relationship Id="rId44" Type="http://schemas.openxmlformats.org/officeDocument/2006/relationships/hyperlink" Target="https://www.ebay.co.uk/itm/133875147448?hash=item1f2b94a2b8:g:4rAAAOSwRG1hPezJ" TargetMode="External"/><Relationship Id="rId43" Type="http://schemas.openxmlformats.org/officeDocument/2006/relationships/hyperlink" Target="https://www.mottramlabs.com/" TargetMode="External"/><Relationship Id="rId46" Type="http://schemas.openxmlformats.org/officeDocument/2006/relationships/hyperlink" Target="https://shop.pimoroni.com/" TargetMode="External"/><Relationship Id="rId45" Type="http://schemas.openxmlformats.org/officeDocument/2006/relationships/hyperlink" Target="https://shop.pimoroni.com/products/plasma-2040" TargetMode="External"/><Relationship Id="rId48" Type="http://schemas.openxmlformats.org/officeDocument/2006/relationships/hyperlink" Target="https://www.pixelcontroller.com/store/index.php?id_product=47" TargetMode="External"/><Relationship Id="rId47" Type="http://schemas.openxmlformats.org/officeDocument/2006/relationships/hyperlink" Target="https://shop.pimoroni.com/products/plasma-2040" TargetMode="External"/><Relationship Id="rId49" Type="http://schemas.openxmlformats.org/officeDocument/2006/relationships/hyperlink" Target="https://www.pjrc.com/store/octo28_adaptor.html" TargetMode="External"/><Relationship Id="rId31" Type="http://schemas.openxmlformats.org/officeDocument/2006/relationships/hyperlink" Target="https://kulplights.com/product/f40d-pb/" TargetMode="External"/><Relationship Id="rId30" Type="http://schemas.openxmlformats.org/officeDocument/2006/relationships/hyperlink" Target="https://kulplights.com/product/f32-b/" TargetMode="External"/><Relationship Id="rId33" Type="http://schemas.openxmlformats.org/officeDocument/2006/relationships/hyperlink" Target="https://www.microcyb.com/index.html" TargetMode="External"/><Relationship Id="rId32" Type="http://schemas.openxmlformats.org/officeDocument/2006/relationships/hyperlink" Target="https://microcyb.com/" TargetMode="External"/><Relationship Id="rId35" Type="http://schemas.openxmlformats.org/officeDocument/2006/relationships/hyperlink" Target="https://www.microcyb.com/index.html" TargetMode="External"/><Relationship Id="rId34" Type="http://schemas.openxmlformats.org/officeDocument/2006/relationships/hyperlink" Target="https://www.microcyb.com/index.html" TargetMode="External"/><Relationship Id="rId37" Type="http://schemas.openxmlformats.org/officeDocument/2006/relationships/hyperlink" Target="https://www.microcyb.com/index.html" TargetMode="External"/><Relationship Id="rId36" Type="http://schemas.openxmlformats.org/officeDocument/2006/relationships/hyperlink" Target="https://www.microcyb.com/index.html" TargetMode="External"/><Relationship Id="rId39" Type="http://schemas.openxmlformats.org/officeDocument/2006/relationships/hyperlink" Target="https://www.ebay.co.uk/itm/133705567939?hash=item1f21790ec3:g:IAUAAOSwo5VgXL05" TargetMode="External"/><Relationship Id="rId38" Type="http://schemas.openxmlformats.org/officeDocument/2006/relationships/hyperlink" Target="http://microcyb.com/" TargetMode="External"/><Relationship Id="rId20" Type="http://schemas.openxmlformats.org/officeDocument/2006/relationships/hyperlink" Target="https://jboards.ecwid.com/" TargetMode="External"/><Relationship Id="rId22" Type="http://schemas.openxmlformats.org/officeDocument/2006/relationships/hyperlink" Target="https://jboards.ecwid.com/Pixel-String-Pihat-Zero-p133155360" TargetMode="External"/><Relationship Id="rId21" Type="http://schemas.openxmlformats.org/officeDocument/2006/relationships/hyperlink" Target="https://jboards.ecwid.com/ESPixNode-microSD-adapter-p428060492" TargetMode="External"/><Relationship Id="rId24" Type="http://schemas.openxmlformats.org/officeDocument/2006/relationships/hyperlink" Target="https://github.com/ArtGateOne/ArtGateOne-DMX?" TargetMode="External"/><Relationship Id="rId23" Type="http://schemas.openxmlformats.org/officeDocument/2006/relationships/hyperlink" Target="https://github.com/ArtGateOne/ArtGateOne-DMX?" TargetMode="External"/><Relationship Id="rId26" Type="http://schemas.openxmlformats.org/officeDocument/2006/relationships/hyperlink" Target="https://github.com/ArtGateOne/ArtGateOne-LED" TargetMode="External"/><Relationship Id="rId25" Type="http://schemas.openxmlformats.org/officeDocument/2006/relationships/hyperlink" Target="https://github.com/ArtGateOne/ArtGateOne-LED" TargetMode="External"/><Relationship Id="rId28" Type="http://schemas.openxmlformats.org/officeDocument/2006/relationships/hyperlink" Target="https://kulplights.com/product/f8-b/" TargetMode="External"/><Relationship Id="rId27" Type="http://schemas.openxmlformats.org/officeDocument/2006/relationships/hyperlink" Target="https://kulplights.com/product/pocketscroller/" TargetMode="External"/><Relationship Id="rId29" Type="http://schemas.openxmlformats.org/officeDocument/2006/relationships/hyperlink" Target="https://kulplights.com/product/f8-pb/" TargetMode="External"/><Relationship Id="rId11" Type="http://schemas.openxmlformats.org/officeDocument/2006/relationships/hyperlink" Target="https://www.tindie.com/products/9723/" TargetMode="External"/><Relationship Id="rId10" Type="http://schemas.openxmlformats.org/officeDocument/2006/relationships/hyperlink" Target="https://www.tindie.com/products/electromage/electromage-pro-5-12v-8x-ws2812apa102-led-driver/" TargetMode="External"/><Relationship Id="rId13" Type="http://schemas.openxmlformats.org/officeDocument/2006/relationships/hyperlink" Target="https://www.tindie.com/products/16255/" TargetMode="External"/><Relationship Id="rId12" Type="http://schemas.openxmlformats.org/officeDocument/2006/relationships/hyperlink" Target="https://www.tindie.com/products/11579/" TargetMode="External"/><Relationship Id="rId15" Type="http://schemas.openxmlformats.org/officeDocument/2006/relationships/hyperlink" Target="https://www.tindie.com/products/19174/" TargetMode="External"/><Relationship Id="rId14" Type="http://schemas.openxmlformats.org/officeDocument/2006/relationships/hyperlink" Target="https://www.tindie.com/products/15247/" TargetMode="External"/><Relationship Id="rId17" Type="http://schemas.openxmlformats.org/officeDocument/2006/relationships/hyperlink" Target="https://www.superlightingled.com/dc524v-4-channel-spi-signal-output-data-signal-sp901e-amplifier-for-programmable-dream-color-6803-1903-1809-1812-2811-ic-led-light-strips-p-3125.html" TargetMode="External"/><Relationship Id="rId16" Type="http://schemas.openxmlformats.org/officeDocument/2006/relationships/hyperlink" Target="https://www.superlightingled.com/dc524v-4-channel-spi-signal-output-data-signal-sp901e-amplifier-for-programmable-dream-color-6803-1903-1809-1812-2811-ic-led-light-strips-p-3125.html" TargetMode="External"/><Relationship Id="rId19" Type="http://schemas.openxmlformats.org/officeDocument/2006/relationships/hyperlink" Target="https://jboards.ecwid.com/ESPixNode-microSD-adapter-p428060492" TargetMode="External"/><Relationship Id="rId18" Type="http://schemas.openxmlformats.org/officeDocument/2006/relationships/hyperlink" Target="http://www.hansonelectronics.com.au/product/rpi-28d/" TargetMode="External"/><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orangepi-dmx.org/" TargetMode="External"/><Relationship Id="rId9" Type="http://schemas.openxmlformats.org/officeDocument/2006/relationships/hyperlink" Target="https://www.bhencke.com/serial-led-driver-pro" TargetMode="External"/><Relationship Id="rId5" Type="http://schemas.openxmlformats.org/officeDocument/2006/relationships/hyperlink" Target="http://bitwizard.nl/shop/DMX-interface-for-Raspberry-pi" TargetMode="External"/><Relationship Id="rId6" Type="http://schemas.openxmlformats.org/officeDocument/2006/relationships/hyperlink" Target="https://www.doityourselfchristmas.com/wiki/index.php?title=ESPixel_Stick_%26_ESPixel_Pops" TargetMode="External"/><Relationship Id="rId7" Type="http://schemas.openxmlformats.org/officeDocument/2006/relationships/hyperlink" Target="https://www.bhencke.com/serial-led-driver" TargetMode="External"/><Relationship Id="rId8" Type="http://schemas.openxmlformats.org/officeDocument/2006/relationships/hyperlink" Target="https://www.tindie.com/products/electromage/electromage-serial-to-8x-ws2812apa102-driver/" TargetMode="External"/><Relationship Id="rId73" Type="http://schemas.openxmlformats.org/officeDocument/2006/relationships/hyperlink" Target="https://www.digitalambiance.com/products/products-led-controllers-accessories/products-pixellauncher-series" TargetMode="External"/><Relationship Id="rId72" Type="http://schemas.openxmlformats.org/officeDocument/2006/relationships/hyperlink" Target="http://spixels.org/" TargetMode="External"/><Relationship Id="rId75" Type="http://schemas.openxmlformats.org/officeDocument/2006/relationships/drawing" Target="../drawings/drawing8.xml"/><Relationship Id="rId74" Type="http://schemas.openxmlformats.org/officeDocument/2006/relationships/hyperlink" Target="https://www.digitalambiance.com/product/pixellauncher-gen-2-micro/" TargetMode="External"/><Relationship Id="rId76" Type="http://schemas.openxmlformats.org/officeDocument/2006/relationships/vmlDrawing" Target="../drawings/vmlDrawing8.vml"/><Relationship Id="rId78" Type="http://schemas.openxmlformats.org/officeDocument/2006/relationships/table" Target="../tables/table7.xml"/><Relationship Id="rId71" Type="http://schemas.openxmlformats.org/officeDocument/2006/relationships/hyperlink" Target="https://quinled.info/2018/10/12/quinled-dig-uno-hardware-guide/" TargetMode="External"/><Relationship Id="rId70" Type="http://schemas.openxmlformats.org/officeDocument/2006/relationships/hyperlink" Target="https://www.amazon.com/ESPixelStick-Wireless-DMX-Pixel-Controller/dp/B072XT1V77/" TargetMode="External"/><Relationship Id="rId62" Type="http://schemas.openxmlformats.org/officeDocument/2006/relationships/hyperlink" Target="https://www.tindie.com/products/EssenceEng/led-octopus/?pt=ac_prod_search&amp;fbclid=IwAR0w77lL9NKRWRN5rjs89GbIYH6X89oUKeTyQUXs0GWmvsbt0Y-RF29wdO8" TargetMode="External"/><Relationship Id="rId61" Type="http://schemas.openxmlformats.org/officeDocument/2006/relationships/hyperlink" Target="https://www.tindie.com/products/ManiacalLabs/pipixel-raspberry-pi-led-strip-hat/" TargetMode="External"/><Relationship Id="rId64" Type="http://schemas.openxmlformats.org/officeDocument/2006/relationships/hyperlink" Target="https://www.wizardofwire.com/product/data-to-differential-board/" TargetMode="External"/><Relationship Id="rId63" Type="http://schemas.openxmlformats.org/officeDocument/2006/relationships/hyperlink" Target="https://www.wizardofwire.com/product/data-to-differential-board/" TargetMode="External"/><Relationship Id="rId66" Type="http://schemas.openxmlformats.org/officeDocument/2006/relationships/hyperlink" Target="https://www.wizardofwire.com/product/meanwell-differential-receiver-w-power-injection//" TargetMode="External"/><Relationship Id="rId65" Type="http://schemas.openxmlformats.org/officeDocument/2006/relationships/hyperlink" Target="https://www.wizardofwire.com/product/meanwell-differential-receiver-w-power-injection/" TargetMode="External"/><Relationship Id="rId68" Type="http://schemas.openxmlformats.org/officeDocument/2006/relationships/hyperlink" Target="https://jboards.ecwid.com/ESPixNode-p127558674" TargetMode="External"/><Relationship Id="rId67" Type="http://schemas.openxmlformats.org/officeDocument/2006/relationships/hyperlink" Target="https://www.amazon.com/ACROBOTIC-ESP8266-Adapter-WS2812B-Raspberry/dp/B07JFCGH8C" TargetMode="External"/><Relationship Id="rId60" Type="http://schemas.openxmlformats.org/officeDocument/2006/relationships/hyperlink" Target="https://www.sparkfun.com/products/15110" TargetMode="External"/><Relationship Id="rId69" Type="http://schemas.openxmlformats.org/officeDocument/2006/relationships/hyperlink" Target="https://espartstick.ecwid.com/" TargetMode="External"/><Relationship Id="rId51" Type="http://schemas.openxmlformats.org/officeDocument/2006/relationships/hyperlink" Target="https://quinled.info/quinled-dig-uno/" TargetMode="External"/><Relationship Id="rId50" Type="http://schemas.openxmlformats.org/officeDocument/2006/relationships/hyperlink" Target="https://quinled.info/quinled-dig-uno/" TargetMode="External"/><Relationship Id="rId53" Type="http://schemas.openxmlformats.org/officeDocument/2006/relationships/hyperlink" Target="https://quinled.info/quinled-dig-uno/" TargetMode="External"/><Relationship Id="rId52" Type="http://schemas.openxmlformats.org/officeDocument/2006/relationships/hyperlink" Target="https://quinled.info/quinled-dig-quad/" TargetMode="External"/><Relationship Id="rId55" Type="http://schemas.openxmlformats.org/officeDocument/2006/relationships/hyperlink" Target="https://github.com/srg74/WLED-wemos-shield" TargetMode="External"/><Relationship Id="rId54" Type="http://schemas.openxmlformats.org/officeDocument/2006/relationships/hyperlink" Target="https://github.com/srg74/WLED-wemos-shield" TargetMode="External"/><Relationship Id="rId57" Type="http://schemas.openxmlformats.org/officeDocument/2006/relationships/hyperlink" Target="https://www.amazon.com/dp/B07Q6XK8KM/ref=cm_sw_em_r_mt_dp_U_P6gQEb3590DWJ" TargetMode="External"/><Relationship Id="rId56" Type="http://schemas.openxmlformats.org/officeDocument/2006/relationships/hyperlink" Target="https://github.com/srg74/Controller-for-WLED-firmware" TargetMode="External"/><Relationship Id="rId59" Type="http://schemas.openxmlformats.org/officeDocument/2006/relationships/hyperlink" Target="https://www.sparkfun.com/products/15110" TargetMode="External"/><Relationship Id="rId58" Type="http://schemas.openxmlformats.org/officeDocument/2006/relationships/hyperlink" Target="https://github.com/srg74/Controller-for-WLED-firmware"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openrgb.org/index.html" TargetMode="External"/><Relationship Id="rId42" Type="http://schemas.openxmlformats.org/officeDocument/2006/relationships/hyperlink" Target="https://www.orangepi-dmx.org/" TargetMode="External"/><Relationship Id="rId41" Type="http://schemas.openxmlformats.org/officeDocument/2006/relationships/hyperlink" Target="https://www.orangepi-dmx.org/" TargetMode="External"/><Relationship Id="rId44" Type="http://schemas.openxmlformats.org/officeDocument/2006/relationships/hyperlink" Target="https://github.com/wramsdell/TriantaduoWS2811" TargetMode="External"/><Relationship Id="rId43" Type="http://schemas.openxmlformats.org/officeDocument/2006/relationships/hyperlink" Target="https://github.com/ssilverman/TeensyDMX" TargetMode="External"/><Relationship Id="rId46" Type="http://schemas.openxmlformats.org/officeDocument/2006/relationships/hyperlink" Target="http://visuino.com/" TargetMode="External"/><Relationship Id="rId45" Type="http://schemas.openxmlformats.org/officeDocument/2006/relationships/hyperlink" Target="https://www.visuino.com/" TargetMode="External"/><Relationship Id="rId48" Type="http://schemas.openxmlformats.org/officeDocument/2006/relationships/hyperlink" Target="https://www.youtube.com/watch?v=2wM067jRki8" TargetMode="External"/><Relationship Id="rId47" Type="http://schemas.openxmlformats.org/officeDocument/2006/relationships/hyperlink" Target="https://github.com/Aircoookie/WLED" TargetMode="External"/><Relationship Id="rId49" Type="http://schemas.openxmlformats.org/officeDocument/2006/relationships/hyperlink" Target="https://install.wled.me/" TargetMode="External"/><Relationship Id="rId31" Type="http://schemas.openxmlformats.org/officeDocument/2006/relationships/hyperlink" Target="https://github.com/Hardi-St/MobaLedLib" TargetMode="External"/><Relationship Id="rId30" Type="http://schemas.openxmlformats.org/officeDocument/2006/relationships/hyperlink" Target="https://github.com/PWRFLcreative/Lightwork" TargetMode="External"/><Relationship Id="rId33" Type="http://schemas.openxmlformats.org/officeDocument/2006/relationships/hyperlink" Target="https://github.com/adafruit/Adafruit_NeoPixel" TargetMode="External"/><Relationship Id="rId32" Type="http://schemas.openxmlformats.org/officeDocument/2006/relationships/hyperlink" Target="https://github.com/Hardi-St/MobaLedLib" TargetMode="External"/><Relationship Id="rId35" Type="http://schemas.openxmlformats.org/officeDocument/2006/relationships/hyperlink" Target="https://github.com/PlummersSoftwareLLC/NightDriverStrip" TargetMode="External"/><Relationship Id="rId34" Type="http://schemas.openxmlformats.org/officeDocument/2006/relationships/hyperlink" Target="https://www.youtube.com/watch?v=vCDfyxNFeEw" TargetMode="External"/><Relationship Id="rId37" Type="http://schemas.openxmlformats.org/officeDocument/2006/relationships/hyperlink" Target="https://www.youtube.com/watch?v=UZxY_BLSsGg" TargetMode="External"/><Relationship Id="rId36" Type="http://schemas.openxmlformats.org/officeDocument/2006/relationships/hyperlink" Target="https://github.com/PlummersSoftwareLLC/NightDriverStrip" TargetMode="External"/><Relationship Id="rId39" Type="http://schemas.openxmlformats.org/officeDocument/2006/relationships/hyperlink" Target="https://openrgb.org/" TargetMode="External"/><Relationship Id="rId38" Type="http://schemas.openxmlformats.org/officeDocument/2006/relationships/hyperlink" Target="https://www.pjrc.com/teensy/td_libs_OctoWS2811.html" TargetMode="External"/><Relationship Id="rId20" Type="http://schemas.openxmlformats.org/officeDocument/2006/relationships/hyperlink" Target="https://github.com/sonyhome/FAB_LED" TargetMode="External"/><Relationship Id="rId22" Type="http://schemas.openxmlformats.org/officeDocument/2006/relationships/hyperlink" Target="http://www.riderx.info/fade-an-esp32-animation-system/" TargetMode="External"/><Relationship Id="rId21" Type="http://schemas.openxmlformats.org/officeDocument/2006/relationships/hyperlink" Target="http://www.riderx.info/fade-an-esp32-animation-system/" TargetMode="External"/><Relationship Id="rId24" Type="http://schemas.openxmlformats.org/officeDocument/2006/relationships/hyperlink" Target="https://github.com/FastLED/FastLED" TargetMode="External"/><Relationship Id="rId23" Type="http://schemas.openxmlformats.org/officeDocument/2006/relationships/hyperlink" Target="https://www.youtube.com/watch?v=-CXQz1x2k9o" TargetMode="External"/><Relationship Id="rId26" Type="http://schemas.openxmlformats.org/officeDocument/2006/relationships/hyperlink" Target="https://github.com/hpwit/FASTLEDVIRTUALDRIVER" TargetMode="External"/><Relationship Id="rId25" Type="http://schemas.openxmlformats.org/officeDocument/2006/relationships/hyperlink" Target="https://www.youtube.com/watch?v=4Ut4UK7612M" TargetMode="External"/><Relationship Id="rId28" Type="http://schemas.openxmlformats.org/officeDocument/2006/relationships/hyperlink" Target="https://github.com/jasoncoon/led-mapper" TargetMode="External"/><Relationship Id="rId27" Type="http://schemas.openxmlformats.org/officeDocument/2006/relationships/hyperlink" Target="https://github.com/jasoncoon/led-mapper" TargetMode="External"/><Relationship Id="rId29" Type="http://schemas.openxmlformats.org/officeDocument/2006/relationships/hyperlink" Target="https://adrianotiger.github.io/Neopixel-Effect-Generator/" TargetMode="External"/><Relationship Id="rId11" Type="http://schemas.openxmlformats.org/officeDocument/2006/relationships/hyperlink" Target="http://artnet2twinkly.com/" TargetMode="External"/><Relationship Id="rId10" Type="http://schemas.openxmlformats.org/officeDocument/2006/relationships/hyperlink" Target="https://github.com/tangophi/Artnet_DMX_SD_Card" TargetMode="External"/><Relationship Id="rId13" Type="http://schemas.openxmlformats.org/officeDocument/2006/relationships/hyperlink" Target="https://youtube.com/channel/UCbd2w11mMNXC9Qekdho1bYw" TargetMode="External"/><Relationship Id="rId12" Type="http://schemas.openxmlformats.org/officeDocument/2006/relationships/hyperlink" Target="http://artnet2twinkly.com/" TargetMode="External"/><Relationship Id="rId15" Type="http://schemas.openxmlformats.org/officeDocument/2006/relationships/hyperlink" Target="https://github.com/rstephan/ArtnetWifi" TargetMode="External"/><Relationship Id="rId14" Type="http://schemas.openxmlformats.org/officeDocument/2006/relationships/hyperlink" Target="https://github.com/rstephan/ArtnetWifi" TargetMode="External"/><Relationship Id="rId17" Type="http://schemas.openxmlformats.org/officeDocument/2006/relationships/hyperlink" Target="https://github.com/garymueller/ESP-131GPIO" TargetMode="External"/><Relationship Id="rId16" Type="http://schemas.openxmlformats.org/officeDocument/2006/relationships/hyperlink" Target="https://github.com/jspolsky/branchController2" TargetMode="External"/><Relationship Id="rId19" Type="http://schemas.openxmlformats.org/officeDocument/2006/relationships/hyperlink" Target="https://github.com/forkineye/ESPixelStick" TargetMode="External"/><Relationship Id="rId18" Type="http://schemas.openxmlformats.org/officeDocument/2006/relationships/hyperlink" Target="https://github.com/garymueller/ESP-131GPIO" TargetMode="External"/><Relationship Id="rId1" Type="http://schemas.openxmlformats.org/officeDocument/2006/relationships/comments" Target="../comments9.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github.com/Xaver2k/ArduinoENC_Artnet-WS2811" TargetMode="External"/><Relationship Id="rId9" Type="http://schemas.openxmlformats.org/officeDocument/2006/relationships/hyperlink" Target="https://github.com/tangophi/Artnet_DMX_SD_Card?" TargetMode="External"/><Relationship Id="rId5" Type="http://schemas.openxmlformats.org/officeDocument/2006/relationships/hyperlink" Target="https://artemis-rgb.com/" TargetMode="External"/><Relationship Id="rId6" Type="http://schemas.openxmlformats.org/officeDocument/2006/relationships/hyperlink" Target="https://artemis-rgb.com/" TargetMode="External"/><Relationship Id="rId7" Type="http://schemas.openxmlformats.org/officeDocument/2006/relationships/hyperlink" Target="https://github.com/natcl/Artnet" TargetMode="External"/><Relationship Id="rId8" Type="http://schemas.openxmlformats.org/officeDocument/2006/relationships/hyperlink" Target="http://www.tlhome.de/ATCE.htm" TargetMode="External"/><Relationship Id="rId51" Type="http://schemas.openxmlformats.org/officeDocument/2006/relationships/hyperlink" Target="https://xod.io/" TargetMode="External"/><Relationship Id="rId50" Type="http://schemas.openxmlformats.org/officeDocument/2006/relationships/hyperlink" Target="https://www.welcometothefuture.one/blog/wled-get-started" TargetMode="External"/><Relationship Id="rId53" Type="http://schemas.openxmlformats.org/officeDocument/2006/relationships/hyperlink" Target="https://www.youtube.com/watch?v=XU0u5OEra3o" TargetMode="External"/><Relationship Id="rId52" Type="http://schemas.openxmlformats.org/officeDocument/2006/relationships/hyperlink" Target="https://xod.io/" TargetMode="External"/><Relationship Id="rId55" Type="http://schemas.openxmlformats.org/officeDocument/2006/relationships/hyperlink" Target="https://github.com/Golden-Geek/BLIP/" TargetMode="External"/><Relationship Id="rId54" Type="http://schemas.openxmlformats.org/officeDocument/2006/relationships/hyperlink" Target="https://github.com/Golden-Geek/BLIP/" TargetMode="External"/><Relationship Id="rId57" Type="http://schemas.openxmlformats.org/officeDocument/2006/relationships/vmlDrawing" Target="../drawings/vmlDrawing9.vml"/><Relationship Id="rId56" Type="http://schemas.openxmlformats.org/officeDocument/2006/relationships/drawing" Target="../drawings/drawing9.xml"/><Relationship Id="rId59"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pjrc.com/store/teensy35.html" TargetMode="External"/><Relationship Id="rId42" Type="http://schemas.openxmlformats.org/officeDocument/2006/relationships/hyperlink" Target="https://www.raspberrypi.org/products/raspberry-pi-zero/" TargetMode="External"/><Relationship Id="rId41" Type="http://schemas.openxmlformats.org/officeDocument/2006/relationships/hyperlink" Target="https://www.pjrc.com/store/teensy36.html" TargetMode="External"/><Relationship Id="rId44" Type="http://schemas.openxmlformats.org/officeDocument/2006/relationships/hyperlink" Target="https://www.raspberrypi.org/products/raspberry-pi-zero-w/" TargetMode="External"/><Relationship Id="rId43" Type="http://schemas.openxmlformats.org/officeDocument/2006/relationships/hyperlink" Target="https://www.raspberrypi.org/products/raspberry-pi-zero/" TargetMode="External"/><Relationship Id="rId46" Type="http://schemas.openxmlformats.org/officeDocument/2006/relationships/hyperlink" Target="https://www.raspberrypi.org/products/raspberry-pi-1-model-b-plus/" TargetMode="External"/><Relationship Id="rId45" Type="http://schemas.openxmlformats.org/officeDocument/2006/relationships/hyperlink" Target="https://www.raspberrypi.org/products/raspberry-pi-1-model-a-plus/" TargetMode="External"/><Relationship Id="rId48" Type="http://schemas.openxmlformats.org/officeDocument/2006/relationships/hyperlink" Target="https://www.raspberrypi.org/products/raspberry-pi-2-model-b/" TargetMode="External"/><Relationship Id="rId47" Type="http://schemas.openxmlformats.org/officeDocument/2006/relationships/hyperlink" Target="https://www.raspberrypi.org/products/raspberry-pi-3-model-a-plus/" TargetMode="External"/><Relationship Id="rId49" Type="http://schemas.openxmlformats.org/officeDocument/2006/relationships/hyperlink" Target="https://www.raspberrypi.org/products/raspberry-pi-2-model-b/" TargetMode="External"/><Relationship Id="rId31" Type="http://schemas.openxmlformats.org/officeDocument/2006/relationships/hyperlink" Target="https://www.olimex.com/Products/IoT/ESP32/ESP32-POE/open-source-hardware" TargetMode="External"/><Relationship Id="rId30" Type="http://schemas.openxmlformats.org/officeDocument/2006/relationships/hyperlink" Target="https://www.espressif.com/en/products/socs/esp32" TargetMode="External"/><Relationship Id="rId33" Type="http://schemas.openxmlformats.org/officeDocument/2006/relationships/hyperlink" Target="https://en.wikipedia.org/wiki/Xtensa_LX6" TargetMode="External"/><Relationship Id="rId32" Type="http://schemas.openxmlformats.org/officeDocument/2006/relationships/hyperlink" Target="https://www.olimex.com/" TargetMode="External"/><Relationship Id="rId35" Type="http://schemas.openxmlformats.org/officeDocument/2006/relationships/hyperlink" Target="https://www.pjrc.com/teensy/teensyLC.html" TargetMode="External"/><Relationship Id="rId34" Type="http://schemas.openxmlformats.org/officeDocument/2006/relationships/hyperlink" Target="https://www.olimex.com/Products/IoT/ESP32/ESP32-POE/open-source-hardware" TargetMode="External"/><Relationship Id="rId37" Type="http://schemas.openxmlformats.org/officeDocument/2006/relationships/hyperlink" Target="https://www.pjrc.com/store/teensy32.html" TargetMode="External"/><Relationship Id="rId36" Type="http://schemas.openxmlformats.org/officeDocument/2006/relationships/hyperlink" Target="https://www.pjrc.com/store/teensy.html" TargetMode="External"/><Relationship Id="rId39" Type="http://schemas.openxmlformats.org/officeDocument/2006/relationships/hyperlink" Target="https://www.pjrc.com/store/teensypp.html" TargetMode="External"/><Relationship Id="rId38" Type="http://schemas.openxmlformats.org/officeDocument/2006/relationships/hyperlink" Target="https://www.pjrc.com/store/teensy40.html" TargetMode="External"/><Relationship Id="rId20" Type="http://schemas.openxmlformats.org/officeDocument/2006/relationships/hyperlink" Target="https://www.lilygo.cc/products/t-eth-lite" TargetMode="External"/><Relationship Id="rId22" Type="http://schemas.openxmlformats.org/officeDocument/2006/relationships/hyperlink" Target="http://www.lilygo.cn/prod_view.aspx?TypeId=50033&amp;Id=1307&amp;FId=t3:50033:3" TargetMode="External"/><Relationship Id="rId21" Type="http://schemas.openxmlformats.org/officeDocument/2006/relationships/hyperlink" Target="https://github.com/Xinyuan-LilyGO/LilyGO-T-ETH-Series" TargetMode="External"/><Relationship Id="rId24" Type="http://schemas.openxmlformats.org/officeDocument/2006/relationships/hyperlink" Target="https://en.wikipedia.org/wiki/Xtensa_LX6" TargetMode="External"/><Relationship Id="rId23" Type="http://schemas.openxmlformats.org/officeDocument/2006/relationships/hyperlink" Target="http://www.lilygo.cn/" TargetMode="External"/><Relationship Id="rId26" Type="http://schemas.openxmlformats.org/officeDocument/2006/relationships/hyperlink" Target="https://components101.com/development-boards/nodemcu-esp8266-pinout-features-and-datasheet" TargetMode="External"/><Relationship Id="rId25" Type="http://schemas.openxmlformats.org/officeDocument/2006/relationships/hyperlink" Target="http://www.lilygo.cn/prod_view.aspx?TypeId=50033&amp;Id=1307&amp;FId=t3:50033:3" TargetMode="External"/><Relationship Id="rId28" Type="http://schemas.openxmlformats.org/officeDocument/2006/relationships/hyperlink" Target="https://www.espressif.com/en/products/socs/esp32" TargetMode="External"/><Relationship Id="rId27" Type="http://schemas.openxmlformats.org/officeDocument/2006/relationships/hyperlink" Target="https://components101.com/development-boards/nodemcu-esp8266-pinout-features-and-datasheet" TargetMode="External"/><Relationship Id="rId29" Type="http://schemas.openxmlformats.org/officeDocument/2006/relationships/hyperlink" Target="https://en.wikipedia.org/wiki/Xtensa_LX6" TargetMode="External"/><Relationship Id="rId11" Type="http://schemas.openxmlformats.org/officeDocument/2006/relationships/hyperlink" Target="https://www.microchip.com/wwwproducts/en/ATtiny85" TargetMode="External"/><Relationship Id="rId10" Type="http://schemas.openxmlformats.org/officeDocument/2006/relationships/hyperlink" Target="https://store.arduino.cc/usa/arduino-micro" TargetMode="External"/><Relationship Id="rId13" Type="http://schemas.openxmlformats.org/officeDocument/2006/relationships/hyperlink" Target="http://beagleboard.org/" TargetMode="External"/><Relationship Id="rId12" Type="http://schemas.openxmlformats.org/officeDocument/2006/relationships/hyperlink" Target="http://beagleboard.org/pocket" TargetMode="External"/><Relationship Id="rId15" Type="http://schemas.openxmlformats.org/officeDocument/2006/relationships/hyperlink" Target="http://beagleboard.org/black" TargetMode="External"/><Relationship Id="rId14" Type="http://schemas.openxmlformats.org/officeDocument/2006/relationships/hyperlink" Target="http://beagleboard.org/pocket" TargetMode="External"/><Relationship Id="rId17" Type="http://schemas.openxmlformats.org/officeDocument/2006/relationships/hyperlink" Target="http://beagleboard.org/black" TargetMode="External"/><Relationship Id="rId16" Type="http://schemas.openxmlformats.org/officeDocument/2006/relationships/hyperlink" Target="http://beagleboard.org/" TargetMode="External"/><Relationship Id="rId19" Type="http://schemas.openxmlformats.org/officeDocument/2006/relationships/hyperlink" Target="https://www.lilygo.cc/products/t-eth-lite?srsltid=AfmBOoqq1HBVD9bNGCn4IK8sReNQKVpvAMpj02D24KnucBK3JlZwT2Y5" TargetMode="External"/><Relationship Id="rId18" Type="http://schemas.openxmlformats.org/officeDocument/2006/relationships/hyperlink" Target="https://www.ebyte.com/en/new-view-info.aspx?id=378" TargetMode="External"/><Relationship Id="rId1" Type="http://schemas.openxmlformats.org/officeDocument/2006/relationships/comments" Target="../comments10.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www.adafruit.com/product/3500" TargetMode="External"/><Relationship Id="rId9" Type="http://schemas.openxmlformats.org/officeDocument/2006/relationships/hyperlink" Target="https://store-usa.arduino.cc/collections/boards/products/arduino-mega-2560-rev3" TargetMode="External"/><Relationship Id="rId5" Type="http://schemas.openxmlformats.org/officeDocument/2006/relationships/hyperlink" Target="https://www.adafruit.com/product/4062" TargetMode="External"/><Relationship Id="rId6" Type="http://schemas.openxmlformats.org/officeDocument/2006/relationships/hyperlink" Target="https://www.adafruit.com/product/4062" TargetMode="External"/><Relationship Id="rId7" Type="http://schemas.openxmlformats.org/officeDocument/2006/relationships/hyperlink" Target="https://www.adafruit.com/product/3010" TargetMode="External"/><Relationship Id="rId8" Type="http://schemas.openxmlformats.org/officeDocument/2006/relationships/hyperlink" Target="https://store-usa.arduino.cc/collections/boards/products/arduino-mega-2560-rev3" TargetMode="External"/><Relationship Id="rId62" Type="http://schemas.openxmlformats.org/officeDocument/2006/relationships/hyperlink" Target="https://www.waveshare.com/product/arduino/boards-kits/esp32/esp32-s3-eth.htm?sku=28771" TargetMode="External"/><Relationship Id="rId61" Type="http://schemas.openxmlformats.org/officeDocument/2006/relationships/hyperlink" Target="https://www.waveshare.com/product/arduino/boards-kits/esp32/esp32-s3-eth.htm?sku=28771" TargetMode="External"/><Relationship Id="rId64" Type="http://schemas.openxmlformats.org/officeDocument/2006/relationships/vmlDrawing" Target="../drawings/vmlDrawing10.vml"/><Relationship Id="rId63" Type="http://schemas.openxmlformats.org/officeDocument/2006/relationships/drawing" Target="../drawings/drawing10.xml"/><Relationship Id="rId66" Type="http://schemas.openxmlformats.org/officeDocument/2006/relationships/table" Target="../tables/table9.xml"/><Relationship Id="rId60" Type="http://schemas.openxmlformats.org/officeDocument/2006/relationships/hyperlink" Target="https://www.electroschematics.com/the-mighty-esp-01-adapter/" TargetMode="External"/><Relationship Id="rId51" Type="http://schemas.openxmlformats.org/officeDocument/2006/relationships/hyperlink" Target="https://www.raspberrypi.org/products/raspberry-pi-4-model-b/" TargetMode="External"/><Relationship Id="rId50" Type="http://schemas.openxmlformats.org/officeDocument/2006/relationships/hyperlink" Target="https://www.raspberrypi.org/products/raspberry-pi-3-model-b/" TargetMode="External"/><Relationship Id="rId53" Type="http://schemas.openxmlformats.org/officeDocument/2006/relationships/hyperlink" Target="https://www.seeedstudio.com/Ethernet-module-based-on-ESP32-series-WT32-ETH01-p-4736.html" TargetMode="External"/><Relationship Id="rId52" Type="http://schemas.openxmlformats.org/officeDocument/2006/relationships/hyperlink" Target="https://www.raspberrypi.org/products/raspberry-pi-3-model-b-plus/" TargetMode="External"/><Relationship Id="rId55" Type="http://schemas.openxmlformats.org/officeDocument/2006/relationships/hyperlink" Target="https://en.wikipedia.org/wiki/Xtensa_LX6" TargetMode="External"/><Relationship Id="rId54" Type="http://schemas.openxmlformats.org/officeDocument/2006/relationships/hyperlink" Target="http://www.wireless-tag.com/portfolio/wt32-eth01/" TargetMode="External"/><Relationship Id="rId57" Type="http://schemas.openxmlformats.org/officeDocument/2006/relationships/hyperlink" Target="https://www.aliexpress.com/item/4000049660873.html" TargetMode="External"/><Relationship Id="rId56" Type="http://schemas.openxmlformats.org/officeDocument/2006/relationships/hyperlink" Target="https://www.seeedstudio.com/Ethernet-module-based-on-ESP32-series-WT32-ETH01-p-4736.html" TargetMode="External"/><Relationship Id="rId59" Type="http://schemas.openxmlformats.org/officeDocument/2006/relationships/hyperlink" Target="https://www.electroschematics.com/the-mighty-esp-01-adapter/" TargetMode="External"/><Relationship Id="rId58" Type="http://schemas.openxmlformats.org/officeDocument/2006/relationships/hyperlink" Target="http://www.orangepi.org/"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uk.farnell.com/bulgin/px0551/plug-8way-6a-free/dp/151740" TargetMode="External"/><Relationship Id="rId42" Type="http://schemas.openxmlformats.org/officeDocument/2006/relationships/hyperlink" Target="https://www.sunelectronics.co.in/image/cache/catalog/Image/8%20pin%20shell%20connector1-500x500.jpg" TargetMode="External"/><Relationship Id="rId41" Type="http://schemas.openxmlformats.org/officeDocument/2006/relationships/hyperlink" Target="https://www.mouser.co.uk/datasheet/2/57/bulgs00368_1-2263014.pdf" TargetMode="External"/><Relationship Id="rId44" Type="http://schemas.openxmlformats.org/officeDocument/2006/relationships/hyperlink" Target="http://media.guitarcenter.com/is/image/MMGS7/5-Pin-Male--Female-XLR-Connectors/331775000000000-00-500x500.jpg" TargetMode="External"/><Relationship Id="rId43" Type="http://schemas.openxmlformats.org/officeDocument/2006/relationships/hyperlink" Target="https://www.renhotecpro.com/gx16-connector-data-sheet/" TargetMode="External"/><Relationship Id="rId46" Type="http://schemas.openxmlformats.org/officeDocument/2006/relationships/hyperlink" Target="https://ae01.alicdn.com/kf/S6c802c2558d94b65a26e1828ba63fbe7W/LD16-welding-free-aviation-plug-socket-IP68-waterproof-connector-2-3-4-core-screw-wiring-male.jpg_Q90.jpg_.webp" TargetMode="External"/><Relationship Id="rId45" Type="http://schemas.openxmlformats.org/officeDocument/2006/relationships/hyperlink" Target="https://www.neutrik.com/en/products/lightning/xlr" TargetMode="External"/><Relationship Id="rId48" Type="http://schemas.openxmlformats.org/officeDocument/2006/relationships/hyperlink" Target="https://complete-electronics.com/media/wysiwyg/Bulgin_mini_1.jpg" TargetMode="External"/><Relationship Id="rId47" Type="http://schemas.openxmlformats.org/officeDocument/2006/relationships/hyperlink" Target="https://www.aliexpress.com/item/1005003521328338.html" TargetMode="External"/><Relationship Id="rId49" Type="http://schemas.openxmlformats.org/officeDocument/2006/relationships/hyperlink" Target="https://www.bulgin.com/us/products/range/circular-power-connectors/mini-series.html" TargetMode="External"/><Relationship Id="rId31" Type="http://schemas.openxmlformats.org/officeDocument/2006/relationships/hyperlink" Target="https://www.wiredwatts.com/wire" TargetMode="External"/><Relationship Id="rId30" Type="http://schemas.openxmlformats.org/officeDocument/2006/relationships/hyperlink" Target="https://ae01.alicdn.com/kf/Hf7499517300649b2b1673811e583c1811/Pigtails-3-Pin-Black-8-in-10-Pairs.jpg" TargetMode="External"/><Relationship Id="rId33" Type="http://schemas.openxmlformats.org/officeDocument/2006/relationships/hyperlink" Target="https://uk.farnell.com/c/connectors/circular-connectors-components/circular-industrial-connectors?brand=binder&amp;product-range=720-series" TargetMode="External"/><Relationship Id="rId32" Type="http://schemas.openxmlformats.org/officeDocument/2006/relationships/hyperlink" Target="https://www.ferroberlin.de/images/product_images/info_images/491130305_2.png" TargetMode="External"/><Relationship Id="rId35" Type="http://schemas.openxmlformats.org/officeDocument/2006/relationships/hyperlink" Target="https://www.hirose.com/product/series/DF62W" TargetMode="External"/><Relationship Id="rId34" Type="http://schemas.openxmlformats.org/officeDocument/2006/relationships/hyperlink" Target="https://ae01.alicdn.com/kf/HTB1seoERXXXXXXoXXXXq6xXFXXX8/Original-Weipu-Connector-SP13-IP68-Connector-2-3-4-5-6-7-9-Pin-Cable-Plug.jpg" TargetMode="External"/><Relationship Id="rId37" Type="http://schemas.openxmlformats.org/officeDocument/2006/relationships/hyperlink" Target="https://www.avx.com/products/connectors/board-to-board/standard-card-edge-00-9159/" TargetMode="External"/><Relationship Id="rId36" Type="http://schemas.openxmlformats.org/officeDocument/2006/relationships/hyperlink" Target="https://www.avx.com/en/wp-content/uploads/L3-4-product-images/70-9159.jpg" TargetMode="External"/><Relationship Id="rId39" Type="http://schemas.openxmlformats.org/officeDocument/2006/relationships/hyperlink" Target="https://2.bp.blogspot.com/-Vm_SLnI2YWo/VzJst0pIwlI/AAAAAAAAGvY/5v-wclgkoRowcCxZb7bDx_m5e2AP8wRVgCLcB/s1600/Bulgin.png" TargetMode="External"/><Relationship Id="rId38" Type="http://schemas.openxmlformats.org/officeDocument/2006/relationships/hyperlink" Target="https://www.digikey.com/short/zvwmnz" TargetMode="External"/><Relationship Id="rId20" Type="http://schemas.openxmlformats.org/officeDocument/2006/relationships/hyperlink" Target="https://www.nooelec.com/store/media/catalog/product/cache/1/image/1200x/040ec09b1e35df139433887a97daa66f/4/_/4_jst_sm_1g_1.jpg" TargetMode="External"/><Relationship Id="rId22" Type="http://schemas.openxmlformats.org/officeDocument/2006/relationships/hyperlink" Target="https://www.hirose.com/medias/pic_DF62W.jpg?context=bWFzdGVyfHByaXZhdGVfc3lzX3VwbG9hZHwxMTQ0MDZ8aW1hZ2UvanBlZ3xzeXMtbWFzdGVyL3ByaXZhdGVfc3lzX3VwbG9hZC9oMmUvaGI4LzkxNzE2ODU1MDcxMDIvcGljX0RGNjJXLmpwZ3wwM2E0YjY0ZTE0Y2E1MDg5OTZlNzFlOTNmOGEzMmM2MjJlNzhhMGRhNzU0M2I2ZDNhMWFmNjgyOTAxYjQ3M2Fj" TargetMode="External"/><Relationship Id="rId21" Type="http://schemas.openxmlformats.org/officeDocument/2006/relationships/hyperlink" Target="http://www.jst-mfg.com/product/detail_e.php?series=238" TargetMode="External"/><Relationship Id="rId24" Type="http://schemas.openxmlformats.org/officeDocument/2006/relationships/hyperlink" Target="https://www.luetze.com/fileadmin/asim-override/productimages/490017.jpg" TargetMode="External"/><Relationship Id="rId23" Type="http://schemas.openxmlformats.org/officeDocument/2006/relationships/hyperlink" Target="https://www.hirose.com/product/series/DF62W" TargetMode="External"/><Relationship Id="rId26" Type="http://schemas.openxmlformats.org/officeDocument/2006/relationships/hyperlink" Target="https://www.scondar.com/wp-content/uploads/2017/03/Molex-2510-connector.jpg" TargetMode="External"/><Relationship Id="rId25" Type="http://schemas.openxmlformats.org/officeDocument/2006/relationships/hyperlink" Target="https://uk.rs-online.com/web/p/industrial-circular-connectors/2906584/" TargetMode="External"/><Relationship Id="rId28" Type="http://schemas.openxmlformats.org/officeDocument/2006/relationships/hyperlink" Target="https://audioverse.de/wp-content/uploads/2019/12/20210518_024114-scaled-e1621305305706.jpg" TargetMode="External"/><Relationship Id="rId27" Type="http://schemas.openxmlformats.org/officeDocument/2006/relationships/hyperlink" Target="https://www.molex.com/molex/products/group/kk_interconnect_solutions" TargetMode="External"/><Relationship Id="rId29" Type="http://schemas.openxmlformats.org/officeDocument/2006/relationships/hyperlink" Target="https://www.rean-connectors.com/en/product/rt4fc-b-1" TargetMode="External"/><Relationship Id="rId11" Type="http://schemas.openxmlformats.org/officeDocument/2006/relationships/hyperlink" Target="https://www2.mouser.com/Connectors/Power-Connectors/DC-Power-Connectors/_/N-axip3?keyword=2.1mm%20jack" TargetMode="External"/><Relationship Id="rId10" Type="http://schemas.openxmlformats.org/officeDocument/2006/relationships/hyperlink" Target="https://showmecables-static.scdn3.secure.raxcdn.com/media/catalog/product/cache/0aa466c0d56d23d446bcd4aa4538d2f7/d/c/dc-power-connector-2.1mm-id-5.5mm-od-1.jpg" TargetMode="External"/><Relationship Id="rId13" Type="http://schemas.openxmlformats.org/officeDocument/2006/relationships/hyperlink" Target="https://www.pcboard.ca/image/cache/catalog/products/connectors/jst/jst-ph-3pin/3-pin-mini-micro-jst-ph-2.0-connector-set-05-800x800.jpg" TargetMode="External"/><Relationship Id="rId12" Type="http://schemas.openxmlformats.org/officeDocument/2006/relationships/hyperlink" Target="https://www2.mouser.com/Connectors/Power-Connectors/DC-Power-Connectors/_/N-axip3?keyword=2.1mm%20jack" TargetMode="External"/><Relationship Id="rId15" Type="http://schemas.openxmlformats.org/officeDocument/2006/relationships/hyperlink" Target="https://www.molex.com/product/picoblade.html" TargetMode="External"/><Relationship Id="rId14" Type="http://schemas.openxmlformats.org/officeDocument/2006/relationships/hyperlink" Target="http://www.jst-mfg.com/product/detail_e.php?series=199" TargetMode="External"/><Relationship Id="rId17" Type="http://schemas.openxmlformats.org/officeDocument/2006/relationships/hyperlink" Target="https://www.pcboard.ca/image/cache/catalog/products/connectors/jst/jst-xh-2pin/JST-HS254-2-Pin-Connector-Set-800x800.jpg" TargetMode="External"/><Relationship Id="rId16" Type="http://schemas.openxmlformats.org/officeDocument/2006/relationships/hyperlink" Target="https://www.molex.com/molex/products/family/picoblade" TargetMode="External"/><Relationship Id="rId19" Type="http://schemas.openxmlformats.org/officeDocument/2006/relationships/hyperlink" Target="https://www.digikey.com/en/product-highlight/j/jst/xh-series-connectors" TargetMode="External"/><Relationship Id="rId18" Type="http://schemas.openxmlformats.org/officeDocument/2006/relationships/hyperlink" Target="https://www.digikey.com/en/product-highlight/j/jst/xh-series-connectors" TargetMode="External"/><Relationship Id="rId84" Type="http://schemas.openxmlformats.org/officeDocument/2006/relationships/hyperlink" Target="https://www.te.com/usa-en/products/brands/mate-n-lok.html?tab=pgp-story" TargetMode="External"/><Relationship Id="rId83" Type="http://schemas.openxmlformats.org/officeDocument/2006/relationships/hyperlink" Target="https://www.vehiclewiringproducts.co.uk/image/cache/catalog/products/normal/mnl6-1000x1000w.jpg" TargetMode="External"/><Relationship Id="rId86" Type="http://schemas.openxmlformats.org/officeDocument/2006/relationships/hyperlink" Target="https://p3connectors.com/what-are-socapex-connectors/" TargetMode="External"/><Relationship Id="rId85" Type="http://schemas.openxmlformats.org/officeDocument/2006/relationships/hyperlink" Target="https://cdn.stormltd.co.uk/content/2016/03/socapex.png" TargetMode="External"/><Relationship Id="rId88" Type="http://schemas.openxmlformats.org/officeDocument/2006/relationships/hyperlink" Target="https://www.harting.com/US/en/heavy-duty-electrical-connectors" TargetMode="External"/><Relationship Id="rId87" Type="http://schemas.openxmlformats.org/officeDocument/2006/relationships/hyperlink" Target="https://cdn.shopify.com/s/files/1/0252/4646/6100/products/lectriflex_1d167fa4-ae4b-4340-b5d8-fe2bd857d8f6_1024x1024@2x.png?v=1623856280" TargetMode="External"/><Relationship Id="rId89" Type="http://schemas.openxmlformats.org/officeDocument/2006/relationships/hyperlink" Target="http://files.cablewholesale.com/hires/10a2-46120_01.jpg" TargetMode="External"/><Relationship Id="rId80" Type="http://schemas.openxmlformats.org/officeDocument/2006/relationships/hyperlink" Target="https://www.wieland-electric.com/en/products/electrical-installation/connection-systems-high-protection-class/rst-classic/" TargetMode="External"/><Relationship Id="rId82" Type="http://schemas.openxmlformats.org/officeDocument/2006/relationships/hyperlink" Target="https://www.hylec-apl.com/Weatherproof-Waterproof-Connectors-Range/TeePlug-and-Sockets/THB_387_C4A.html" TargetMode="External"/><Relationship Id="rId81" Type="http://schemas.openxmlformats.org/officeDocument/2006/relationships/hyperlink" Target="https://www.hylec-apl.com/Content/productImage/THK.387.A5A.jpg" TargetMode="External"/><Relationship Id="rId1" Type="http://schemas.openxmlformats.org/officeDocument/2006/relationships/comments" Target="../comments11.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www.iec.ch/ip-ratings" TargetMode="External"/><Relationship Id="rId9" Type="http://schemas.openxmlformats.org/officeDocument/2006/relationships/hyperlink" Target="https://www.jst-mfg.com/product/detail_e.php?series=231" TargetMode="External"/><Relationship Id="rId5" Type="http://schemas.openxmlformats.org/officeDocument/2006/relationships/hyperlink" Target="https://gree-leds.com/web/userfiles/product/big/dupontwire5.jpg" TargetMode="External"/><Relationship Id="rId6" Type="http://schemas.openxmlformats.org/officeDocument/2006/relationships/hyperlink" Target="https://www.harwin.com/connectors-hardware/pcb-connectors/2-54mm-pitch-pcb-connectors/" TargetMode="External"/><Relationship Id="rId7" Type="http://schemas.openxmlformats.org/officeDocument/2006/relationships/hyperlink" Target="https://www.mattmillman.com/info/crimpconnectors/dupont-and-dupont-connectors/" TargetMode="External"/><Relationship Id="rId8" Type="http://schemas.openxmlformats.org/officeDocument/2006/relationships/hyperlink" Target="https://www.sconect.com/wp-content/uploads/2016/12/JST-SH-connector.jpg?x78740" TargetMode="External"/><Relationship Id="rId73" Type="http://schemas.openxmlformats.org/officeDocument/2006/relationships/hyperlink" Target="https://www.showandstage.de/media/image/product/38328/lg/cee-form-16a-240v-3pol-kupplung-blau-ip44.jpg" TargetMode="External"/><Relationship Id="rId72" Type="http://schemas.openxmlformats.org/officeDocument/2006/relationships/hyperlink" Target="https://www.neutrik.com/en/neutrik/products/powercon" TargetMode="External"/><Relationship Id="rId75" Type="http://schemas.openxmlformats.org/officeDocument/2006/relationships/hyperlink" Target="https://ehrgeiz.glp.de/images/products/eventCON/showcase/eventCON_5.jpg" TargetMode="External"/><Relationship Id="rId74" Type="http://schemas.openxmlformats.org/officeDocument/2006/relationships/hyperlink" Target="https://www.epanorama.net/blog/2021/08/19/ceeform-connectors/" TargetMode="External"/><Relationship Id="rId77" Type="http://schemas.openxmlformats.org/officeDocument/2006/relationships/hyperlink" Target="https://complete-electronics.com/media/catalog/category/CA.jpg" TargetMode="External"/><Relationship Id="rId76" Type="http://schemas.openxmlformats.org/officeDocument/2006/relationships/hyperlink" Target="https://ehrgeiz.glp.de/en/products/accessories/eventcon" TargetMode="External"/><Relationship Id="rId79" Type="http://schemas.openxmlformats.org/officeDocument/2006/relationships/hyperlink" Target="https://www.frame3d.de/wp-content/uploads/2018/03/Wieland-RST-Classic-04-1500x844.jpg" TargetMode="External"/><Relationship Id="rId78" Type="http://schemas.openxmlformats.org/officeDocument/2006/relationships/hyperlink" Target="https://uk.farnell.com/c/connectors/circular-connectors-components/circular-industrial-connectors?product-range=ca-series" TargetMode="External"/><Relationship Id="rId71" Type="http://schemas.openxmlformats.org/officeDocument/2006/relationships/hyperlink" Target="https://www.neutrik.com/en/neutrik/products/powercon" TargetMode="External"/><Relationship Id="rId70" Type="http://schemas.openxmlformats.org/officeDocument/2006/relationships/hyperlink" Target="https://www.neutrik.com/en/neutrik/products/xlr-connectors/xlr-cable-connectors?c=audio" TargetMode="External"/><Relationship Id="rId62" Type="http://schemas.openxmlformats.org/officeDocument/2006/relationships/hyperlink" Target="https://www.te.com/usa-en/products/connectors/automotive-connectors/intersection/deutsch-dt-series-connectors.html?tab=pgp-story" TargetMode="External"/><Relationship Id="rId61" Type="http://schemas.openxmlformats.org/officeDocument/2006/relationships/hyperlink" Target="https://www.boataccessoriesaustralia.com.au/assets/full/P-1030927.jpg?20200605105831" TargetMode="External"/><Relationship Id="rId64" Type="http://schemas.openxmlformats.org/officeDocument/2006/relationships/hyperlink" Target="https://www.conxall.com/Documents/en3.pdf" TargetMode="External"/><Relationship Id="rId63" Type="http://schemas.openxmlformats.org/officeDocument/2006/relationships/hyperlink" Target="https://www.newark.com/productimages/large/en_US/90T0630-40.jpg" TargetMode="External"/><Relationship Id="rId66" Type="http://schemas.openxmlformats.org/officeDocument/2006/relationships/hyperlink" Target="https://www.molex.com/molex/products/family/minifit_power_connector_solutions" TargetMode="External"/><Relationship Id="rId65" Type="http://schemas.openxmlformats.org/officeDocument/2006/relationships/hyperlink" Target="https://www.scondar.com/wp-content/uploads/2017/03/Molex-5557-5559-connector.jpg" TargetMode="External"/><Relationship Id="rId68" Type="http://schemas.openxmlformats.org/officeDocument/2006/relationships/hyperlink" Target="https://www.te.com/content/dam/te-com/documents/automotive/global/1654292-2_AMP%20SUPERSEAL%201.5.pdf" TargetMode="External"/><Relationship Id="rId67" Type="http://schemas.openxmlformats.org/officeDocument/2006/relationships/hyperlink" Target="https://www.hall-fast.com/media/catalog/product/cache/1/image/1200x1200/9df78eab33525d08d6e5fb8d27136e95/s/s/ssc4f.png" TargetMode="External"/><Relationship Id="rId60" Type="http://schemas.openxmlformats.org/officeDocument/2006/relationships/hyperlink" Target="https://www.digikey.com/en/products/detail/phoenix-contact/1757035/260381?s=N4IgTCBcDaIIwHYCsCAMBmJIC6BfIA" TargetMode="External"/><Relationship Id="rId69" Type="http://schemas.openxmlformats.org/officeDocument/2006/relationships/hyperlink" Target="https://images-na.ssl-images-amazon.com/images/I/71cquRpIeiL._AC_SL1500_.jpg" TargetMode="External"/><Relationship Id="rId51" Type="http://schemas.openxmlformats.org/officeDocument/2006/relationships/hyperlink" Target="https://weipuconnector.com/product/38" TargetMode="External"/><Relationship Id="rId50" Type="http://schemas.openxmlformats.org/officeDocument/2006/relationships/hyperlink" Target="http://leaka.com.cn/u_file/1901/products/17/853ce279ee.jpg.500x500.jpg" TargetMode="External"/><Relationship Id="rId53" Type="http://schemas.openxmlformats.org/officeDocument/2006/relationships/hyperlink" Target="http://suomi.chogori.pro/produkciya.html" TargetMode="External"/><Relationship Id="rId52" Type="http://schemas.openxmlformats.org/officeDocument/2006/relationships/hyperlink" Target="https://www.wagneronline.com.au/prodimages/section7_images/chogori_images_1024/22003231-01.jpg" TargetMode="External"/><Relationship Id="rId55" Type="http://schemas.openxmlformats.org/officeDocument/2006/relationships/hyperlink" Target="https://www.master-instruments.com.au/image/61242/1/Master-CE-VHR-2N.jpg" TargetMode="External"/><Relationship Id="rId54" Type="http://schemas.openxmlformats.org/officeDocument/2006/relationships/hyperlink" Target="https://www.digikey.co.uk/en/products/filter/circular-connectors/circular-connector-assemblies/436?s=N4IgjCBcoBw1oDGUBmBDANgZwKYBoQB7KAbRACZyBOABhogF0CAHAFyhAGVWAnASwB2AcxABfAgFp40EMkjps%2BIqQpgArDRANxICQBYEs1JlwFikMmoDsVgMzktop0A" TargetMode="External"/><Relationship Id="rId57" Type="http://schemas.openxmlformats.org/officeDocument/2006/relationships/hyperlink" Target="https://media.rs-online.com/t_large/F1896026-01.jpg" TargetMode="External"/><Relationship Id="rId56" Type="http://schemas.openxmlformats.org/officeDocument/2006/relationships/hyperlink" Target="https://www.jst.com/wp-content/uploads/2021/08/eVH.pdf" TargetMode="External"/><Relationship Id="rId59" Type="http://schemas.openxmlformats.org/officeDocument/2006/relationships/hyperlink" Target="https://in.rsdelivers.com/product/phoenix-contact/1757035/phoenix-contact-classic-combicon-mstb-non-fused/1896032" TargetMode="External"/><Relationship Id="rId58" Type="http://schemas.openxmlformats.org/officeDocument/2006/relationships/hyperlink" Target="https://www.phoenixcontact.com/" TargetMode="External"/><Relationship Id="rId106" Type="http://schemas.openxmlformats.org/officeDocument/2006/relationships/table" Target="../tables/table10.xml"/><Relationship Id="rId104" Type="http://schemas.openxmlformats.org/officeDocument/2006/relationships/vmlDrawing" Target="../drawings/vmlDrawing11.vml"/><Relationship Id="rId103" Type="http://schemas.openxmlformats.org/officeDocument/2006/relationships/drawing" Target="../drawings/drawing11.xml"/><Relationship Id="rId102" Type="http://schemas.openxmlformats.org/officeDocument/2006/relationships/hyperlink" Target="http://cdn.sparkfun.com/datasheets/Prototyping/xt60.pdf" TargetMode="External"/><Relationship Id="rId101" Type="http://schemas.openxmlformats.org/officeDocument/2006/relationships/hyperlink" Target="https://www.sparkfun.com/products/10474" TargetMode="External"/><Relationship Id="rId100" Type="http://schemas.openxmlformats.org/officeDocument/2006/relationships/hyperlink" Target="https://cdn.sparkfun.com//assets/parts/4/9/7/1/10474-01.jpg" TargetMode="External"/><Relationship Id="rId95" Type="http://schemas.openxmlformats.org/officeDocument/2006/relationships/hyperlink" Target="https://www.digikey.com/en/products/filter/blade-type-power-connectors-accessories/360?s=N4IgTCBcDaIIYDsAmBTATgZwPYIAQAcsB3dQgGxRAF0BfIA" TargetMode="External"/><Relationship Id="rId94" Type="http://schemas.openxmlformats.org/officeDocument/2006/relationships/hyperlink" Target="https://www.andersonpower.com/us/en/resources/PowerPoleResourcesPage.html" TargetMode="External"/><Relationship Id="rId97" Type="http://schemas.openxmlformats.org/officeDocument/2006/relationships/hyperlink" Target="https://blog.ampow.com/ic5-vs-ec5-connector/" TargetMode="External"/><Relationship Id="rId96" Type="http://schemas.openxmlformats.org/officeDocument/2006/relationships/hyperlink" Target="https://images.amain.com/images/large/spm/spmxca502.jpg?width=475" TargetMode="External"/><Relationship Id="rId99" Type="http://schemas.openxmlformats.org/officeDocument/2006/relationships/hyperlink" Target="https://www.flyingtech.co.uk/cables-connectors/amass-nylon-mt60-3-pole-motor-esc-35mm-connector" TargetMode="External"/><Relationship Id="rId98" Type="http://schemas.openxmlformats.org/officeDocument/2006/relationships/hyperlink" Target="https://www.hacker-motor-shop.com/hacker_e/prodpic/MT60-connector-plug-socket-A85068_b_1.JPG" TargetMode="External"/><Relationship Id="rId91" Type="http://schemas.openxmlformats.org/officeDocument/2006/relationships/hyperlink" Target="https://www.pccweb.com/wp-content/uploads/2016/02/WAGO-221-LeverNut-Image1.png" TargetMode="External"/><Relationship Id="rId90" Type="http://schemas.openxmlformats.org/officeDocument/2006/relationships/hyperlink" Target="https://www.neutrik.com/en/neutrik/products/speakon-loudspeaker-connectors/speakon-cable-connectors" TargetMode="External"/><Relationship Id="rId93" Type="http://schemas.openxmlformats.org/officeDocument/2006/relationships/hyperlink" Target="https://www.master-instruments.com.au/image/61848/1/Enepower-CE081L.png" TargetMode="External"/><Relationship Id="rId92" Type="http://schemas.openxmlformats.org/officeDocument/2006/relationships/hyperlink" Target="https://www.wago.com/global/electrical-interconnections/discover-installation-terminal-blocks-and-connectors/221"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homedepot.com/b/Plumbing-Pipe-Fittings-Pipe-PEX-Pipe/N-5yc1vZ1z18i33" TargetMode="External"/><Relationship Id="rId42" Type="http://schemas.openxmlformats.org/officeDocument/2006/relationships/hyperlink" Target="https://www.jessamatutorials.com/translucent-polymer-clay.html" TargetMode="External"/><Relationship Id="rId41" Type="http://schemas.openxmlformats.org/officeDocument/2006/relationships/hyperlink" Target="https://www.amazon.com/Fairfield-Poly-Premium-Fiber-32-Ounce/dp/B004ALQ0M2" TargetMode="External"/><Relationship Id="rId44" Type="http://schemas.openxmlformats.org/officeDocument/2006/relationships/hyperlink" Target="https://en.wikipedia.org/wiki/Fake_fur" TargetMode="External"/><Relationship Id="rId43" Type="http://schemas.openxmlformats.org/officeDocument/2006/relationships/hyperlink" Target="https://perspex.com/news/pom-diffuse/" TargetMode="External"/><Relationship Id="rId46" Type="http://schemas.openxmlformats.org/officeDocument/2006/relationships/vmlDrawing" Target="../drawings/vmlDrawing12.vml"/><Relationship Id="rId45" Type="http://schemas.openxmlformats.org/officeDocument/2006/relationships/drawing" Target="../drawings/drawing12.xml"/><Relationship Id="rId48" Type="http://schemas.openxmlformats.org/officeDocument/2006/relationships/table" Target="../tables/table11.xml"/><Relationship Id="rId31" Type="http://schemas.openxmlformats.org/officeDocument/2006/relationships/hyperlink" Target="https://www.omega.co.uk/pptst/TYPP.html" TargetMode="External"/><Relationship Id="rId30" Type="http://schemas.openxmlformats.org/officeDocument/2006/relationships/hyperlink" Target="https://alpadvantage.com/products/lumieo-ii/" TargetMode="External"/><Relationship Id="rId33" Type="http://schemas.openxmlformats.org/officeDocument/2006/relationships/hyperlink" Target="https://www.amazon.com/Hinodewashi-Oyumaru-Monochromatic-OO-250C-Clear/dp/B00MG5PYPI" TargetMode="External"/><Relationship Id="rId32" Type="http://schemas.openxmlformats.org/officeDocument/2006/relationships/hyperlink" Target="https://www.mcmaster.com/polyethylene-sheets/moisture-resistant-polyethylene-hdpe-sheets-bars-and-strips/thickness~0-04inches/" TargetMode="External"/><Relationship Id="rId35" Type="http://schemas.openxmlformats.org/officeDocument/2006/relationships/hyperlink" Target="https://www.amazon.com/Oodles-Noodles-Deluxe-Foam-Pool/dp/B01LZ8FAHO?th=1" TargetMode="External"/><Relationship Id="rId34" Type="http://schemas.openxmlformats.org/officeDocument/2006/relationships/hyperlink" Target="https://www.newegg.com/p/38Y-00AA-00037" TargetMode="External"/><Relationship Id="rId37" Type="http://schemas.openxmlformats.org/officeDocument/2006/relationships/hyperlink" Target="https://www.zotefoams.com/product/azote/plastazote/" TargetMode="External"/><Relationship Id="rId36" Type="http://schemas.openxmlformats.org/officeDocument/2006/relationships/hyperlink" Target="https://www.walmart.com/ip/4-x-5-Vinyl-Dryer-Vent-Hose-PartNo-D04051-JonesStephens/994124574" TargetMode="External"/><Relationship Id="rId39" Type="http://schemas.openxmlformats.org/officeDocument/2006/relationships/hyperlink" Target="https://www.instamorph.com/" TargetMode="External"/><Relationship Id="rId38" Type="http://schemas.openxmlformats.org/officeDocument/2006/relationships/hyperlink" Target="https://www.gluegunsdirect.com/service-and-advice/hot-melt-adhesive/" TargetMode="External"/><Relationship Id="rId20" Type="http://schemas.openxmlformats.org/officeDocument/2006/relationships/hyperlink" Target="https://www.screwfix.com/p/floplast-push-fit-pipe-white-40mm-x-3m/65426" TargetMode="External"/><Relationship Id="rId22" Type="http://schemas.openxmlformats.org/officeDocument/2006/relationships/hyperlink" Target="https://www.dortechdirect.co.uk/polyethylene-foam-backer-rod-25mm.html" TargetMode="External"/><Relationship Id="rId21" Type="http://schemas.openxmlformats.org/officeDocument/2006/relationships/hyperlink" Target="http://hose-products.com/suction-hose.html" TargetMode="External"/><Relationship Id="rId24" Type="http://schemas.openxmlformats.org/officeDocument/2006/relationships/hyperlink" Target="https://www.plexiglas-shop.com/en-de/products/plexiglas-led/" TargetMode="External"/><Relationship Id="rId23" Type="http://schemas.openxmlformats.org/officeDocument/2006/relationships/hyperlink" Target="https://www.lexjet.com/hp-backlit-polyester-film-60in-x-100ft?CAWELAID=320012560000042473&amp;CAGPSPN=pla&amp;CAAGID=61396511513&amp;CATCI=pla-862634440483&amp;CATARGETID=320012560000750478&amp;CADevice=c&amp;gclid=Cj0KCQjwpNr4BRDYARIsAADIx9xwg2gMLqN09JDo8E9ehIjSRdLMUWf4aRfGx4EIg2X-TDfUrlzeVXsaAjF2EALw_wcB" TargetMode="External"/><Relationship Id="rId26" Type="http://schemas.openxmlformats.org/officeDocument/2006/relationships/hyperlink" Target="https://www.eplastics.com/SAMPLE-ACRYPATTERN" TargetMode="External"/><Relationship Id="rId25" Type="http://schemas.openxmlformats.org/officeDocument/2006/relationships/hyperlink" Target="https://www.brightviewtechnologies.com/products/led-diffusers/led-diffuser-products/page.aspx?id=1102" TargetMode="External"/><Relationship Id="rId28" Type="http://schemas.openxmlformats.org/officeDocument/2006/relationships/hyperlink" Target="https://www.amazon.co.uk/Discoball-Waterproof-Antifungal-Curtains-Bathroom/dp/B00Y1XV3VM" TargetMode="External"/><Relationship Id="rId27" Type="http://schemas.openxmlformats.org/officeDocument/2006/relationships/hyperlink" Target="https://www.metsatissue.com/en/brands-products/baking-cooking-papers/paper-differencies/Pages/default.aspx" TargetMode="External"/><Relationship Id="rId29" Type="http://schemas.openxmlformats.org/officeDocument/2006/relationships/hyperlink" Target="https://www.theplasticshop.co.uk/LD45-45kg-foam-sheet.html" TargetMode="External"/><Relationship Id="rId11" Type="http://schemas.openxmlformats.org/officeDocument/2006/relationships/hyperlink" Target="https://solutions.covestro.com/en/highlights/articles/cases/2019/trevos" TargetMode="External"/><Relationship Id="rId10" Type="http://schemas.openxmlformats.org/officeDocument/2006/relationships/hyperlink" Target="https://www.plastix-world.com/better-with-a-diffusing-polymers/" TargetMode="External"/><Relationship Id="rId13" Type="http://schemas.openxmlformats.org/officeDocument/2006/relationships/hyperlink" Target="https://us.rosco.com/en/product/opti-sculpt" TargetMode="External"/><Relationship Id="rId12" Type="http://schemas.openxmlformats.org/officeDocument/2006/relationships/hyperlink" Target="https://www.perspex.co.uk/materials/perspex-cast-acrylic/s-lux-and-g-lux/" TargetMode="External"/><Relationship Id="rId15" Type="http://schemas.openxmlformats.org/officeDocument/2006/relationships/hyperlink" Target="https://www.edmundoptics.com/p/25400-linesinch-6quot-x-12quot-sheets-2pack/4621?gclid=CjwKCAjwgdX4BRB_EiwAg8O8HWjw1QGEzk6K58RKoEc3b26oilbvFs6GMut1InyfgzmqdJbvjyPs9BoC58gQAvD_BwE" TargetMode="External"/><Relationship Id="rId14" Type="http://schemas.openxmlformats.org/officeDocument/2006/relationships/hyperlink" Target="https://www.luminitco.com/" TargetMode="External"/><Relationship Id="rId17" Type="http://schemas.openxmlformats.org/officeDocument/2006/relationships/hyperlink" Target="https://www.3m.co.uk/3M/en_GB/p/d/b00024897/" TargetMode="External"/><Relationship Id="rId16" Type="http://schemas.openxmlformats.org/officeDocument/2006/relationships/hyperlink" Target="https://sfs.sabic.eu/product/lexan-solid-sheet/sign-sheet/" TargetMode="External"/><Relationship Id="rId19" Type="http://schemas.openxmlformats.org/officeDocument/2006/relationships/hyperlink" Target="https://www.cabletiesandmore.ca/images/gallery/white-wire-loom-perfoot.jpg" TargetMode="External"/><Relationship Id="rId18" Type="http://schemas.openxmlformats.org/officeDocument/2006/relationships/hyperlink" Target="https://en.wikipedia.org/wiki/Bubble_wrap" TargetMode="External"/><Relationship Id="rId1" Type="http://schemas.openxmlformats.org/officeDocument/2006/relationships/comments" Target="../comments12.xml"/><Relationship Id="rId2" Type="http://schemas.openxmlformats.org/officeDocument/2006/relationships/hyperlink" Target="https://www.idealsealants.com/acetoxy-vs-neutral-cure-silicone-i30" TargetMode="External"/><Relationship Id="rId3" Type="http://schemas.openxmlformats.org/officeDocument/2006/relationships/hyperlink" Target="https://www.eplastics.com/SAMPLE-ACRYWHITE" TargetMode="External"/><Relationship Id="rId4" Type="http://schemas.openxmlformats.org/officeDocument/2006/relationships/hyperlink" Target="https://nofilmschool.com/diy-light-panel-busted-lcd-tv" TargetMode="External"/><Relationship Id="rId9" Type="http://schemas.openxmlformats.org/officeDocument/2006/relationships/hyperlink" Target="https://tjlighting.co.uk/product/fake-clear-plastic-iceglass-shards/" TargetMode="External"/><Relationship Id="rId5" Type="http://schemas.openxmlformats.org/officeDocument/2006/relationships/hyperlink" Target="https://www.mdpsupplies.co.uk/glass-lightbox-films/etched" TargetMode="External"/><Relationship Id="rId6" Type="http://schemas.openxmlformats.org/officeDocument/2006/relationships/hyperlink" Target="https://www.orafol.com/en/americas/products/category/advanced-polymer-films-rowlux-illusion-film" TargetMode="External"/><Relationship Id="rId7" Type="http://schemas.openxmlformats.org/officeDocument/2006/relationships/hyperlink" Target="https://www.leefilters.com/lighting/zircon.html" TargetMode="External"/><Relationship Id="rId8" Type="http://schemas.openxmlformats.org/officeDocument/2006/relationships/hyperlink" Target="https://emea.rosco.com/en/products/catalog/filters-diffusions" TargetMode="External"/></Relationships>
</file>

<file path=xl/worksheets/_rels/sheet13.xml.rels><?xml version="1.0" encoding="UTF-8" standalone="yes"?><Relationships xmlns="http://schemas.openxmlformats.org/package/2006/relationships"><Relationship Id="rId31" Type="http://schemas.openxmlformats.org/officeDocument/2006/relationships/table" Target="../tables/table12.xml"/><Relationship Id="rId20" Type="http://schemas.openxmlformats.org/officeDocument/2006/relationships/hyperlink" Target="https://www.chauvetdj.com/products/festoon-2-rgb/" TargetMode="External"/><Relationship Id="rId22" Type="http://schemas.openxmlformats.org/officeDocument/2006/relationships/hyperlink" Target="https://twinkly.com/" TargetMode="External"/><Relationship Id="rId21" Type="http://schemas.openxmlformats.org/officeDocument/2006/relationships/hyperlink" Target="https://www.highlite.com/en/41751-festoonlight-q4-string.html" TargetMode="External"/><Relationship Id="rId24" Type="http://schemas.openxmlformats.org/officeDocument/2006/relationships/hyperlink" Target="https://smartshow.lighting/product/pixel-panels/" TargetMode="External"/><Relationship Id="rId23" Type="http://schemas.openxmlformats.org/officeDocument/2006/relationships/hyperlink" Target="https://www.amazon.com/Twinkly-Multicolor-App-Controlled-Decorations-Generation/dp/B086XJ17XV" TargetMode="External"/><Relationship Id="rId26" Type="http://schemas.openxmlformats.org/officeDocument/2006/relationships/hyperlink" Target="https://smartshow.lighting/product/pixel-panels/" TargetMode="External"/><Relationship Id="rId25" Type="http://schemas.openxmlformats.org/officeDocument/2006/relationships/hyperlink" Target="https://smartshow.lighting/" TargetMode="External"/><Relationship Id="rId28" Type="http://schemas.openxmlformats.org/officeDocument/2006/relationships/drawing" Target="../drawings/drawing13.xml"/><Relationship Id="rId27" Type="http://schemas.openxmlformats.org/officeDocument/2006/relationships/hyperlink" Target="https://smartshow.lighting/" TargetMode="External"/><Relationship Id="rId29" Type="http://schemas.openxmlformats.org/officeDocument/2006/relationships/vmlDrawing" Target="../drawings/vmlDrawing13.vml"/><Relationship Id="rId11" Type="http://schemas.openxmlformats.org/officeDocument/2006/relationships/hyperlink" Target="https://sgmlight.com/products/lb%C2%B7100" TargetMode="External"/><Relationship Id="rId10" Type="http://schemas.openxmlformats.org/officeDocument/2006/relationships/hyperlink" Target="https://www.lumisphere.co.uk/" TargetMode="External"/><Relationship Id="rId13" Type="http://schemas.openxmlformats.org/officeDocument/2006/relationships/hyperlink" Target="https://www.lightwalls.co.uk/learning-kits/" TargetMode="External"/><Relationship Id="rId12" Type="http://schemas.openxmlformats.org/officeDocument/2006/relationships/hyperlink" Target="https://www.lightwalls.co.uk/" TargetMode="External"/><Relationship Id="rId15" Type="http://schemas.openxmlformats.org/officeDocument/2006/relationships/hyperlink" Target="https://www.lucenti.lighting/products" TargetMode="External"/><Relationship Id="rId14" Type="http://schemas.openxmlformats.org/officeDocument/2006/relationships/hyperlink" Target="http://protopixel.io/" TargetMode="External"/><Relationship Id="rId17" Type="http://schemas.openxmlformats.org/officeDocument/2006/relationships/hyperlink" Target="https://ledsnaps.com/" TargetMode="External"/><Relationship Id="rId16" Type="http://schemas.openxmlformats.org/officeDocument/2006/relationships/hyperlink" Target="https://lucenti.lighting/products" TargetMode="External"/><Relationship Id="rId19" Type="http://schemas.openxmlformats.org/officeDocument/2006/relationships/hyperlink" Target="https://www.wiedamark.com/?product_cat=&amp;s=minleon&amp;post_type=product" TargetMode="External"/><Relationship Id="rId18" Type="http://schemas.openxmlformats.org/officeDocument/2006/relationships/hyperlink" Target="https://minleonusa.com/luminaires" TargetMode="External"/><Relationship Id="rId1" Type="http://schemas.openxmlformats.org/officeDocument/2006/relationships/comments" Target="../comments13.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www.glassonelectronics.co.uk/" TargetMode="External"/><Relationship Id="rId9" Type="http://schemas.openxmlformats.org/officeDocument/2006/relationships/hyperlink" Target="https://www.martin.com/en/products/vc-dot-1" TargetMode="External"/><Relationship Id="rId5" Type="http://schemas.openxmlformats.org/officeDocument/2006/relationships/hyperlink" Target="https://astera-led.com/products/nyx-bulb/" TargetMode="External"/><Relationship Id="rId6" Type="http://schemas.openxmlformats.org/officeDocument/2006/relationships/hyperlink" Target="https://www.colorkinetics.com/global" TargetMode="External"/><Relationship Id="rId7" Type="http://schemas.openxmlformats.org/officeDocument/2006/relationships/hyperlink" Target="https://tmb.com/ims/" TargetMode="External"/><Relationship Id="rId8" Type="http://schemas.openxmlformats.org/officeDocument/2006/relationships/hyperlink" Target="https://schnick.schnack.syste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195.13"/>
  </cols>
  <sheetData>
    <row r="1">
      <c r="A1" s="1" t="s">
        <v>0</v>
      </c>
    </row>
    <row r="2">
      <c r="A2" s="1" t="s">
        <v>1</v>
      </c>
    </row>
    <row r="4">
      <c r="A4" s="1" t="s">
        <v>2</v>
      </c>
    </row>
    <row r="5">
      <c r="A5" s="2" t="s">
        <v>3</v>
      </c>
    </row>
    <row r="6">
      <c r="A6" s="3" t="s">
        <v>4</v>
      </c>
    </row>
    <row r="7">
      <c r="A7" s="1"/>
    </row>
    <row r="8">
      <c r="A8" s="1" t="s">
        <v>5</v>
      </c>
    </row>
    <row r="10">
      <c r="A10" s="4" t="s">
        <v>6</v>
      </c>
    </row>
    <row r="11">
      <c r="A11" s="5" t="s">
        <v>7</v>
      </c>
    </row>
    <row r="12">
      <c r="A12" s="6" t="s">
        <v>8</v>
      </c>
    </row>
    <row r="14">
      <c r="A14" s="4" t="s">
        <v>9</v>
      </c>
    </row>
    <row r="15">
      <c r="A15" s="1" t="s">
        <v>10</v>
      </c>
    </row>
    <row r="16">
      <c r="A16" s="1" t="s">
        <v>11</v>
      </c>
    </row>
    <row r="17">
      <c r="A17" s="1" t="s">
        <v>12</v>
      </c>
    </row>
    <row r="19">
      <c r="A19" s="7" t="s">
        <v>13</v>
      </c>
    </row>
    <row r="21">
      <c r="A21" s="4" t="s">
        <v>14</v>
      </c>
      <c r="B21" s="1" t="s">
        <v>15</v>
      </c>
    </row>
    <row r="22">
      <c r="A22" s="4" t="s">
        <v>16</v>
      </c>
      <c r="B22" s="1" t="s">
        <v>17</v>
      </c>
    </row>
    <row r="23">
      <c r="A23" s="4" t="s">
        <v>18</v>
      </c>
      <c r="B23" s="1" t="s">
        <v>19</v>
      </c>
    </row>
    <row r="24">
      <c r="A24" s="4" t="s">
        <v>20</v>
      </c>
      <c r="B24" s="1" t="s">
        <v>21</v>
      </c>
    </row>
    <row r="25">
      <c r="A25" s="4" t="s">
        <v>22</v>
      </c>
      <c r="B25" s="1" t="s">
        <v>23</v>
      </c>
    </row>
    <row r="26">
      <c r="A26" s="4" t="s">
        <v>24</v>
      </c>
      <c r="B26" s="1" t="s">
        <v>25</v>
      </c>
    </row>
    <row r="27">
      <c r="A27" s="4" t="s">
        <v>26</v>
      </c>
      <c r="B27" s="1" t="s">
        <v>27</v>
      </c>
    </row>
    <row r="28">
      <c r="A28" s="4" t="s">
        <v>28</v>
      </c>
      <c r="B28" s="1" t="s">
        <v>29</v>
      </c>
    </row>
    <row r="29">
      <c r="A29" s="4" t="s">
        <v>30</v>
      </c>
      <c r="B29" s="1" t="s">
        <v>31</v>
      </c>
    </row>
    <row r="30">
      <c r="A30" s="4" t="s">
        <v>32</v>
      </c>
      <c r="B30" s="1" t="s">
        <v>33</v>
      </c>
    </row>
    <row r="31">
      <c r="A31" s="4" t="s">
        <v>34</v>
      </c>
      <c r="B31" s="1" t="s">
        <v>35</v>
      </c>
    </row>
    <row r="32">
      <c r="A32" s="4" t="s">
        <v>36</v>
      </c>
      <c r="B32" s="1" t="s">
        <v>37</v>
      </c>
    </row>
    <row r="33">
      <c r="A33" s="4" t="s">
        <v>38</v>
      </c>
      <c r="B33" s="1" t="s">
        <v>39</v>
      </c>
    </row>
    <row r="35">
      <c r="A35" s="1" t="s">
        <v>40</v>
      </c>
    </row>
    <row r="37">
      <c r="A37" s="4" t="s">
        <v>41</v>
      </c>
    </row>
    <row r="38">
      <c r="A38" s="1" t="s">
        <v>42</v>
      </c>
    </row>
    <row r="39">
      <c r="A39" s="1" t="s">
        <v>43</v>
      </c>
    </row>
    <row r="40">
      <c r="A40" s="8" t="s">
        <v>44</v>
      </c>
    </row>
    <row r="41">
      <c r="A41" s="1" t="s">
        <v>45</v>
      </c>
    </row>
    <row r="43">
      <c r="A43" s="4" t="s">
        <v>46</v>
      </c>
    </row>
    <row r="44">
      <c r="A44" s="1" t="s">
        <v>47</v>
      </c>
    </row>
    <row r="45">
      <c r="A45" s="4"/>
    </row>
    <row r="46">
      <c r="A46" s="4" t="s">
        <v>48</v>
      </c>
    </row>
    <row r="47">
      <c r="A47" s="1" t="s">
        <v>49</v>
      </c>
    </row>
    <row r="49">
      <c r="A49" s="4" t="s">
        <v>50</v>
      </c>
    </row>
    <row r="50">
      <c r="A50" s="1" t="s">
        <v>51</v>
      </c>
    </row>
    <row r="52">
      <c r="A52" s="4" t="s">
        <v>52</v>
      </c>
    </row>
    <row r="53">
      <c r="A53" s="1" t="s">
        <v>53</v>
      </c>
    </row>
  </sheetData>
  <hyperlinks>
    <hyperlink r:id="rId4" ref="A11"/>
    <hyperlink r:id="rId5" ref="A12"/>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0.38"/>
    <col customWidth="1" min="2" max="2" width="21.88"/>
    <col customWidth="1" min="3" max="3" width="21.63"/>
    <col customWidth="1" min="4" max="4" width="48.5"/>
    <col customWidth="1" min="5" max="5" width="6.88"/>
    <col customWidth="1" min="6" max="6" width="10.0"/>
    <col customWidth="1" min="7" max="7" width="20.5"/>
    <col customWidth="1" min="8" max="8" width="8.38"/>
    <col customWidth="1" min="9" max="9" width="13.0"/>
    <col customWidth="1" min="10" max="13" width="8.38"/>
    <col customWidth="1" min="14" max="14" width="13.88"/>
    <col customWidth="1" min="15" max="15" width="16.5"/>
    <col customWidth="1" min="16" max="16" width="15.88"/>
    <col customWidth="1" min="17" max="17" width="16.5"/>
    <col customWidth="1" min="18" max="18" width="11.38"/>
    <col customWidth="1" min="19" max="19" width="52.13"/>
    <col customWidth="1" min="20" max="20" width="45.5"/>
    <col customWidth="1" min="21" max="21" width="39.0"/>
    <col customWidth="1" min="22" max="22" width="103.5"/>
    <col customWidth="1" min="23" max="23" width="27.13"/>
    <col customWidth="1" min="24" max="24" width="23.63"/>
    <col customWidth="1" min="25" max="25" width="74.25"/>
  </cols>
  <sheetData>
    <row r="1">
      <c r="A1" s="9">
        <v>176.0</v>
      </c>
      <c r="B1" s="10" t="s">
        <v>54</v>
      </c>
      <c r="C1" s="11" t="s">
        <v>55</v>
      </c>
      <c r="D1" s="10" t="s">
        <v>56</v>
      </c>
      <c r="E1" s="10" t="s">
        <v>57</v>
      </c>
      <c r="F1" s="10" t="s">
        <v>58</v>
      </c>
      <c r="G1" s="10" t="s">
        <v>59</v>
      </c>
      <c r="H1" s="10" t="s">
        <v>60</v>
      </c>
      <c r="I1" s="10" t="s">
        <v>61</v>
      </c>
      <c r="J1" s="10" t="s">
        <v>62</v>
      </c>
      <c r="K1" s="10" t="s">
        <v>63</v>
      </c>
      <c r="L1" s="9" t="s">
        <v>64</v>
      </c>
      <c r="M1" s="10" t="s">
        <v>65</v>
      </c>
      <c r="N1" s="10" t="s">
        <v>66</v>
      </c>
      <c r="O1" s="10" t="s">
        <v>67</v>
      </c>
      <c r="P1" s="10" t="s">
        <v>68</v>
      </c>
      <c r="Q1" s="10" t="s">
        <v>69</v>
      </c>
      <c r="R1" s="9" t="s">
        <v>70</v>
      </c>
      <c r="S1" s="10" t="s">
        <v>71</v>
      </c>
      <c r="T1" s="10" t="s">
        <v>72</v>
      </c>
      <c r="U1" s="10" t="s">
        <v>73</v>
      </c>
      <c r="V1" s="10" t="s">
        <v>48</v>
      </c>
      <c r="W1" s="9" t="s">
        <v>74</v>
      </c>
      <c r="X1" s="12" t="s">
        <v>75</v>
      </c>
      <c r="Y1" s="10" t="s">
        <v>76</v>
      </c>
    </row>
    <row r="2">
      <c r="A2" s="13" t="s">
        <v>77</v>
      </c>
      <c r="B2" s="10" t="s">
        <v>78</v>
      </c>
      <c r="C2" s="14">
        <v>0.0</v>
      </c>
      <c r="D2" s="10" t="s">
        <v>79</v>
      </c>
      <c r="E2" s="10" t="s">
        <v>80</v>
      </c>
      <c r="F2" s="10" t="s">
        <v>81</v>
      </c>
      <c r="G2" s="10"/>
      <c r="H2" s="9" t="s">
        <v>82</v>
      </c>
      <c r="I2" s="10"/>
      <c r="J2" s="10"/>
      <c r="K2" s="10"/>
      <c r="L2" s="10"/>
      <c r="M2" s="10"/>
      <c r="N2" s="10"/>
      <c r="O2" s="10" t="s">
        <v>82</v>
      </c>
      <c r="P2" s="10"/>
      <c r="Q2" s="10"/>
      <c r="R2" s="10"/>
      <c r="S2" s="15"/>
      <c r="T2" s="10" t="s">
        <v>83</v>
      </c>
      <c r="U2" s="10"/>
      <c r="V2" s="10"/>
      <c r="W2" s="10"/>
      <c r="X2" s="12"/>
      <c r="Y2" s="16" t="s">
        <v>84</v>
      </c>
    </row>
    <row r="3">
      <c r="A3" s="16" t="str">
        <f>HYPERLINK("https://www.arkaos.com/","ArKaos")</f>
        <v>ArKaos</v>
      </c>
      <c r="B3" s="10" t="s">
        <v>85</v>
      </c>
      <c r="C3" s="11">
        <v>299.0</v>
      </c>
      <c r="D3" s="10" t="s">
        <v>79</v>
      </c>
      <c r="E3" s="10" t="s">
        <v>81</v>
      </c>
      <c r="F3" s="10" t="s">
        <v>81</v>
      </c>
      <c r="G3" s="10"/>
      <c r="H3" s="10"/>
      <c r="I3" s="10"/>
      <c r="J3" s="10"/>
      <c r="K3" s="10"/>
      <c r="L3" s="10"/>
      <c r="M3" s="10"/>
      <c r="N3" s="10"/>
      <c r="O3" s="10"/>
      <c r="P3" s="10"/>
      <c r="Q3" s="10"/>
      <c r="R3" s="10"/>
      <c r="S3" s="15"/>
      <c r="T3" s="10" t="s">
        <v>86</v>
      </c>
      <c r="U3" s="15"/>
      <c r="V3" s="15"/>
      <c r="W3" s="10"/>
      <c r="X3" s="12" t="s">
        <v>87</v>
      </c>
      <c r="Y3" s="17" t="s">
        <v>88</v>
      </c>
    </row>
    <row r="4">
      <c r="A4" s="18" t="s">
        <v>89</v>
      </c>
      <c r="B4" s="18" t="s">
        <v>90</v>
      </c>
      <c r="C4" s="19" t="s">
        <v>91</v>
      </c>
      <c r="D4" s="18" t="s">
        <v>92</v>
      </c>
      <c r="E4" s="18" t="s">
        <v>93</v>
      </c>
      <c r="F4" s="18" t="s">
        <v>94</v>
      </c>
      <c r="G4" s="10"/>
      <c r="H4" s="18" t="s">
        <v>95</v>
      </c>
      <c r="I4" s="10"/>
      <c r="J4" s="10"/>
      <c r="K4" s="10"/>
      <c r="L4" s="10"/>
      <c r="M4" s="10"/>
      <c r="N4" s="10"/>
      <c r="O4" s="10"/>
      <c r="P4" s="9"/>
      <c r="Q4" s="10"/>
      <c r="R4" s="15"/>
      <c r="S4" s="10"/>
      <c r="T4" s="10"/>
      <c r="U4" s="10"/>
      <c r="V4" s="18" t="s">
        <v>96</v>
      </c>
      <c r="W4" s="10"/>
      <c r="X4" s="12"/>
      <c r="Y4" s="20"/>
    </row>
    <row r="5">
      <c r="A5" s="13" t="s">
        <v>97</v>
      </c>
      <c r="B5" s="21" t="s">
        <v>98</v>
      </c>
      <c r="C5" s="14" t="s">
        <v>99</v>
      </c>
      <c r="D5" s="9" t="s">
        <v>100</v>
      </c>
      <c r="E5" s="9" t="s">
        <v>81</v>
      </c>
      <c r="F5" s="9" t="s">
        <v>81</v>
      </c>
      <c r="G5" s="9" t="s">
        <v>101</v>
      </c>
      <c r="H5" s="9"/>
      <c r="I5" s="9"/>
      <c r="J5" s="10"/>
      <c r="K5" s="10"/>
      <c r="L5" s="10"/>
      <c r="M5" s="9" t="s">
        <v>102</v>
      </c>
      <c r="N5" s="10"/>
      <c r="O5" s="10"/>
      <c r="P5" s="9" t="s">
        <v>82</v>
      </c>
      <c r="Q5" s="9" t="s">
        <v>82</v>
      </c>
      <c r="R5" s="9"/>
      <c r="S5" s="10"/>
      <c r="T5" s="9" t="s">
        <v>103</v>
      </c>
      <c r="U5" s="9"/>
      <c r="V5" s="22" t="s">
        <v>104</v>
      </c>
      <c r="W5" s="9" t="s">
        <v>105</v>
      </c>
      <c r="X5" s="12" t="s">
        <v>87</v>
      </c>
      <c r="Y5" s="23" t="s">
        <v>106</v>
      </c>
    </row>
    <row r="6">
      <c r="A6" s="24" t="s">
        <v>107</v>
      </c>
      <c r="B6" s="9" t="s">
        <v>108</v>
      </c>
      <c r="C6" s="25" t="s">
        <v>91</v>
      </c>
      <c r="D6" s="26" t="s">
        <v>109</v>
      </c>
      <c r="E6" s="9" t="s">
        <v>81</v>
      </c>
      <c r="F6" s="9" t="s">
        <v>81</v>
      </c>
      <c r="G6" s="9" t="s">
        <v>81</v>
      </c>
      <c r="H6" s="26" t="s">
        <v>102</v>
      </c>
      <c r="I6" s="26" t="s">
        <v>102</v>
      </c>
      <c r="J6" s="26"/>
      <c r="K6" s="26"/>
      <c r="L6" s="26"/>
      <c r="M6" s="26"/>
      <c r="N6" s="26" t="s">
        <v>102</v>
      </c>
      <c r="O6" s="26"/>
      <c r="P6" s="26" t="s">
        <v>95</v>
      </c>
      <c r="Q6" s="26" t="s">
        <v>102</v>
      </c>
      <c r="R6" s="26" t="s">
        <v>110</v>
      </c>
      <c r="S6" s="26" t="s">
        <v>111</v>
      </c>
      <c r="T6" s="26" t="s">
        <v>111</v>
      </c>
      <c r="U6" s="27"/>
      <c r="V6" s="26"/>
      <c r="W6" s="26"/>
      <c r="X6" s="28"/>
      <c r="Y6" s="13" t="s">
        <v>112</v>
      </c>
    </row>
    <row r="7">
      <c r="A7" s="24" t="s">
        <v>113</v>
      </c>
      <c r="B7" s="9" t="s">
        <v>108</v>
      </c>
      <c r="C7" s="25" t="s">
        <v>91</v>
      </c>
      <c r="D7" s="26" t="s">
        <v>109</v>
      </c>
      <c r="E7" s="9" t="s">
        <v>81</v>
      </c>
      <c r="F7" s="9" t="s">
        <v>81</v>
      </c>
      <c r="G7" s="9" t="s">
        <v>81</v>
      </c>
      <c r="H7" s="26" t="s">
        <v>102</v>
      </c>
      <c r="I7" s="26" t="s">
        <v>102</v>
      </c>
      <c r="J7" s="26" t="s">
        <v>102</v>
      </c>
      <c r="K7" s="26"/>
      <c r="L7" s="26"/>
      <c r="M7" s="26"/>
      <c r="N7" s="26" t="s">
        <v>102</v>
      </c>
      <c r="O7" s="26"/>
      <c r="P7" s="26" t="s">
        <v>95</v>
      </c>
      <c r="Q7" s="26" t="s">
        <v>102</v>
      </c>
      <c r="R7" s="26" t="s">
        <v>110</v>
      </c>
      <c r="S7" s="26" t="s">
        <v>114</v>
      </c>
      <c r="T7" s="26" t="s">
        <v>114</v>
      </c>
      <c r="U7" s="27"/>
      <c r="V7" s="26"/>
      <c r="W7" s="26"/>
      <c r="X7" s="28"/>
      <c r="Y7" s="13" t="s">
        <v>115</v>
      </c>
    </row>
    <row r="8">
      <c r="A8" s="29" t="s">
        <v>116</v>
      </c>
      <c r="B8" s="9" t="s">
        <v>108</v>
      </c>
      <c r="C8" s="14">
        <v>0.0</v>
      </c>
      <c r="D8" s="9" t="s">
        <v>109</v>
      </c>
      <c r="E8" s="9" t="s">
        <v>81</v>
      </c>
      <c r="F8" s="15"/>
      <c r="G8" s="15"/>
      <c r="H8" s="9" t="s">
        <v>102</v>
      </c>
      <c r="I8" s="10" t="s">
        <v>102</v>
      </c>
      <c r="J8" s="9" t="s">
        <v>102</v>
      </c>
      <c r="K8" s="15"/>
      <c r="L8" s="15"/>
      <c r="M8" s="15"/>
      <c r="N8" s="9" t="s">
        <v>102</v>
      </c>
      <c r="O8" s="15"/>
      <c r="P8" s="9" t="s">
        <v>102</v>
      </c>
      <c r="Q8" s="9" t="s">
        <v>102</v>
      </c>
      <c r="R8" s="9" t="s">
        <v>110</v>
      </c>
      <c r="S8" s="9" t="s">
        <v>117</v>
      </c>
      <c r="T8" s="9" t="s">
        <v>117</v>
      </c>
      <c r="U8" s="15"/>
      <c r="V8" s="9" t="s">
        <v>118</v>
      </c>
      <c r="W8" s="9" t="s">
        <v>91</v>
      </c>
      <c r="X8" s="12" t="s">
        <v>87</v>
      </c>
      <c r="Y8" s="30" t="s">
        <v>119</v>
      </c>
    </row>
    <row r="9">
      <c r="A9" s="13" t="s">
        <v>120</v>
      </c>
      <c r="B9" s="9" t="s">
        <v>121</v>
      </c>
      <c r="C9" s="14" t="s">
        <v>91</v>
      </c>
      <c r="D9" s="9" t="s">
        <v>109</v>
      </c>
      <c r="E9" s="9" t="s">
        <v>81</v>
      </c>
      <c r="F9" s="10"/>
      <c r="G9" s="10"/>
      <c r="H9" s="10"/>
      <c r="I9" s="10"/>
      <c r="J9" s="10"/>
      <c r="K9" s="10"/>
      <c r="L9" s="10"/>
      <c r="M9" s="10"/>
      <c r="N9" s="10"/>
      <c r="O9" s="10"/>
      <c r="P9" s="9"/>
      <c r="Q9" s="10"/>
      <c r="R9" s="10"/>
      <c r="S9" s="10"/>
      <c r="T9" s="10"/>
      <c r="U9" s="10"/>
      <c r="V9" s="9" t="s">
        <v>122</v>
      </c>
      <c r="W9" s="9" t="s">
        <v>91</v>
      </c>
      <c r="X9" s="12" t="s">
        <v>87</v>
      </c>
      <c r="Y9" s="30" t="s">
        <v>123</v>
      </c>
    </row>
    <row r="10">
      <c r="A10" s="24" t="s">
        <v>124</v>
      </c>
      <c r="B10" s="26" t="s">
        <v>125</v>
      </c>
      <c r="C10" s="25" t="s">
        <v>126</v>
      </c>
      <c r="D10" s="26" t="s">
        <v>127</v>
      </c>
      <c r="E10" s="26" t="s">
        <v>128</v>
      </c>
      <c r="F10" s="26" t="s">
        <v>81</v>
      </c>
      <c r="G10" s="26" t="s">
        <v>129</v>
      </c>
      <c r="H10" s="26" t="s">
        <v>95</v>
      </c>
      <c r="I10" s="26" t="s">
        <v>95</v>
      </c>
      <c r="J10" s="26" t="s">
        <v>130</v>
      </c>
      <c r="K10" s="26" t="s">
        <v>95</v>
      </c>
      <c r="L10" s="26" t="s">
        <v>95</v>
      </c>
      <c r="M10" s="26"/>
      <c r="N10" s="26"/>
      <c r="O10" s="26"/>
      <c r="P10" s="26" t="s">
        <v>82</v>
      </c>
      <c r="Q10" s="26" t="s">
        <v>130</v>
      </c>
      <c r="R10" s="27"/>
      <c r="S10" s="26" t="s">
        <v>131</v>
      </c>
      <c r="T10" s="26"/>
      <c r="U10" s="27"/>
      <c r="V10" s="26" t="s">
        <v>132</v>
      </c>
      <c r="W10" s="26" t="s">
        <v>133</v>
      </c>
      <c r="X10" s="28"/>
      <c r="Y10" s="20"/>
    </row>
    <row r="11">
      <c r="A11" s="13" t="s">
        <v>134</v>
      </c>
      <c r="B11" s="9" t="s">
        <v>135</v>
      </c>
      <c r="C11" s="14" t="s">
        <v>136</v>
      </c>
      <c r="D11" s="9" t="s">
        <v>79</v>
      </c>
      <c r="E11" s="9" t="s">
        <v>81</v>
      </c>
      <c r="F11" s="9" t="s">
        <v>81</v>
      </c>
      <c r="G11" s="9" t="s">
        <v>137</v>
      </c>
      <c r="H11" s="9" t="s">
        <v>102</v>
      </c>
      <c r="I11" s="9" t="s">
        <v>102</v>
      </c>
      <c r="J11" s="9" t="s">
        <v>102</v>
      </c>
      <c r="K11" s="10"/>
      <c r="L11" s="10"/>
      <c r="M11" s="10"/>
      <c r="N11" s="10"/>
      <c r="O11" s="9" t="s">
        <v>82</v>
      </c>
      <c r="P11" s="9" t="s">
        <v>82</v>
      </c>
      <c r="Q11" s="10"/>
      <c r="R11" s="9"/>
      <c r="S11" s="9" t="s">
        <v>138</v>
      </c>
      <c r="T11" s="10"/>
      <c r="U11" s="9" t="s">
        <v>139</v>
      </c>
      <c r="V11" s="13" t="s">
        <v>140</v>
      </c>
      <c r="W11" s="9" t="s">
        <v>141</v>
      </c>
      <c r="X11" s="12" t="s">
        <v>87</v>
      </c>
      <c r="Y11" s="30" t="s">
        <v>142</v>
      </c>
    </row>
    <row r="12">
      <c r="A12" s="16" t="str">
        <f>HYPERLINK("https://www.enttec.co.uk/product/controls-gb/addressable-led-pixel-control-gb/pixel-mapping-software/","ELM")</f>
        <v>ELM</v>
      </c>
      <c r="B12" s="9" t="s">
        <v>143</v>
      </c>
      <c r="C12" s="11">
        <f>IFERROR(__xludf.DUMMYFUNCTION("GOOGLEFINANCE(""CURRENCY:GBPUSD"")*70"),93.996)</f>
        <v>93.996</v>
      </c>
      <c r="D12" s="10" t="s">
        <v>79</v>
      </c>
      <c r="E12" s="10" t="s">
        <v>81</v>
      </c>
      <c r="F12" s="10" t="s">
        <v>81</v>
      </c>
      <c r="G12" s="9" t="s">
        <v>129</v>
      </c>
      <c r="H12" s="10" t="s">
        <v>102</v>
      </c>
      <c r="I12" s="10" t="s">
        <v>102</v>
      </c>
      <c r="J12" s="10" t="s">
        <v>102</v>
      </c>
      <c r="K12" s="10" t="s">
        <v>95</v>
      </c>
      <c r="L12" s="10"/>
      <c r="M12" s="10"/>
      <c r="N12" s="10"/>
      <c r="O12" s="10" t="s">
        <v>82</v>
      </c>
      <c r="P12" s="9" t="s">
        <v>82</v>
      </c>
      <c r="Q12" s="10"/>
      <c r="R12" s="10"/>
      <c r="S12" s="9" t="s">
        <v>144</v>
      </c>
      <c r="T12" s="10" t="s">
        <v>145</v>
      </c>
      <c r="U12" s="9" t="s">
        <v>146</v>
      </c>
      <c r="V12" s="9" t="s">
        <v>147</v>
      </c>
      <c r="W12" s="13" t="s">
        <v>148</v>
      </c>
      <c r="X12" s="31"/>
      <c r="Y12" s="23" t="s">
        <v>149</v>
      </c>
    </row>
    <row r="13">
      <c r="A13" s="23" t="s">
        <v>150</v>
      </c>
      <c r="B13" s="10" t="s">
        <v>151</v>
      </c>
      <c r="C13" s="14">
        <v>0.0</v>
      </c>
      <c r="D13" s="10" t="s">
        <v>79</v>
      </c>
      <c r="E13" s="10" t="s">
        <v>81</v>
      </c>
      <c r="F13" s="10"/>
      <c r="G13" s="10"/>
      <c r="H13" s="10" t="s">
        <v>102</v>
      </c>
      <c r="I13" s="10"/>
      <c r="J13" s="10"/>
      <c r="K13" s="10"/>
      <c r="L13" s="10"/>
      <c r="M13" s="10"/>
      <c r="N13" s="10"/>
      <c r="O13" s="10"/>
      <c r="P13" s="10"/>
      <c r="Q13" s="10"/>
      <c r="R13" s="10"/>
      <c r="S13" s="9" t="s">
        <v>152</v>
      </c>
      <c r="T13" s="10"/>
      <c r="U13" s="10" t="s">
        <v>153</v>
      </c>
      <c r="V13" s="9" t="s">
        <v>154</v>
      </c>
      <c r="W13" s="10"/>
      <c r="X13" s="12"/>
      <c r="Y13" s="16" t="s">
        <v>155</v>
      </c>
    </row>
    <row r="14" ht="17.25" customHeight="1">
      <c r="A14" s="16" t="str">
        <f>HYPERLINK("https://github.com/FalconChristmas/fpp","FalconPlayer")</f>
        <v>FalconPlayer</v>
      </c>
      <c r="B14" s="15"/>
      <c r="C14" s="14">
        <v>-1.0</v>
      </c>
      <c r="D14" s="9" t="s">
        <v>156</v>
      </c>
      <c r="E14" s="9" t="s">
        <v>81</v>
      </c>
      <c r="F14" s="10" t="s">
        <v>157</v>
      </c>
      <c r="G14" s="10"/>
      <c r="H14" s="9" t="s">
        <v>102</v>
      </c>
      <c r="I14" s="10" t="s">
        <v>102</v>
      </c>
      <c r="J14" s="10" t="s">
        <v>102</v>
      </c>
      <c r="K14" s="9" t="s">
        <v>95</v>
      </c>
      <c r="L14" s="9"/>
      <c r="M14" s="9" t="s">
        <v>102</v>
      </c>
      <c r="N14" s="9" t="s">
        <v>95</v>
      </c>
      <c r="O14" s="9" t="s">
        <v>95</v>
      </c>
      <c r="P14" s="9" t="s">
        <v>95</v>
      </c>
      <c r="Q14" s="9" t="s">
        <v>102</v>
      </c>
      <c r="R14" s="10"/>
      <c r="S14" s="10" t="s">
        <v>158</v>
      </c>
      <c r="T14" s="9" t="s">
        <v>159</v>
      </c>
      <c r="U14" s="9" t="s">
        <v>160</v>
      </c>
      <c r="V14" s="10" t="s">
        <v>161</v>
      </c>
      <c r="W14" s="10"/>
      <c r="X14" s="12"/>
      <c r="Y14" s="16" t="s">
        <v>162</v>
      </c>
    </row>
    <row r="15">
      <c r="A15" s="16" t="str">
        <f>HYPERLINK("https://www.geopix.io/","GeoPix 2.0(full)")</f>
        <v>GeoPix 2.0(full)</v>
      </c>
      <c r="B15" s="10" t="s">
        <v>163</v>
      </c>
      <c r="C15" s="14">
        <v>0.0</v>
      </c>
      <c r="D15" s="9" t="s">
        <v>164</v>
      </c>
      <c r="E15" s="10" t="s">
        <v>81</v>
      </c>
      <c r="F15" s="10" t="s">
        <v>81</v>
      </c>
      <c r="G15" s="9" t="s">
        <v>129</v>
      </c>
      <c r="H15" s="10" t="s">
        <v>102</v>
      </c>
      <c r="I15" s="9" t="s">
        <v>102</v>
      </c>
      <c r="J15" s="10" t="s">
        <v>95</v>
      </c>
      <c r="K15" s="10"/>
      <c r="L15" s="10"/>
      <c r="M15" s="10"/>
      <c r="N15" s="10"/>
      <c r="O15" s="10" t="s">
        <v>82</v>
      </c>
      <c r="P15" s="9" t="s">
        <v>102</v>
      </c>
      <c r="Q15" s="10"/>
      <c r="R15" s="10"/>
      <c r="S15" s="9" t="s">
        <v>165</v>
      </c>
      <c r="T15" s="10" t="s">
        <v>166</v>
      </c>
      <c r="U15" s="10"/>
      <c r="V15" s="10"/>
      <c r="W15" s="9" t="s">
        <v>167</v>
      </c>
      <c r="X15" s="12"/>
      <c r="Y15" s="16" t="s">
        <v>168</v>
      </c>
    </row>
    <row r="16">
      <c r="A16" s="16" t="str">
        <f>HYPERLINK("https://www.enviral-design.com/","GeoPix0.9")</f>
        <v>GeoPix0.9</v>
      </c>
      <c r="B16" s="10" t="s">
        <v>163</v>
      </c>
      <c r="C16" s="14">
        <v>0.0</v>
      </c>
      <c r="D16" s="9" t="s">
        <v>164</v>
      </c>
      <c r="E16" s="10" t="s">
        <v>81</v>
      </c>
      <c r="F16" s="10" t="s">
        <v>81</v>
      </c>
      <c r="G16" s="9" t="s">
        <v>129</v>
      </c>
      <c r="H16" s="10"/>
      <c r="I16" s="10"/>
      <c r="J16" s="10"/>
      <c r="K16" s="10"/>
      <c r="L16" s="10"/>
      <c r="M16" s="10"/>
      <c r="N16" s="10"/>
      <c r="O16" s="10"/>
      <c r="P16" s="10"/>
      <c r="Q16" s="10"/>
      <c r="R16" s="10"/>
      <c r="S16" s="15"/>
      <c r="T16" s="15"/>
      <c r="U16" s="15"/>
      <c r="V16" s="10" t="s">
        <v>169</v>
      </c>
      <c r="W16" s="9" t="s">
        <v>170</v>
      </c>
      <c r="X16" s="12"/>
      <c r="Y16" s="16" t="s">
        <v>171</v>
      </c>
    </row>
    <row r="17">
      <c r="A17" s="16" t="str">
        <f>HYPERLINK("http://www.live-leds.de","Jinx!")</f>
        <v>Jinx!</v>
      </c>
      <c r="B17" s="15"/>
      <c r="C17" s="14">
        <v>0.0</v>
      </c>
      <c r="D17" s="10" t="s">
        <v>79</v>
      </c>
      <c r="E17" s="10" t="s">
        <v>81</v>
      </c>
      <c r="F17" s="10" t="s">
        <v>81</v>
      </c>
      <c r="G17" s="10"/>
      <c r="H17" s="10" t="s">
        <v>102</v>
      </c>
      <c r="I17" s="10" t="s">
        <v>102</v>
      </c>
      <c r="J17" s="10" t="s">
        <v>102</v>
      </c>
      <c r="K17" s="10"/>
      <c r="L17" s="10"/>
      <c r="M17" s="10"/>
      <c r="N17" s="10"/>
      <c r="O17" s="10" t="s">
        <v>82</v>
      </c>
      <c r="P17" s="10" t="s">
        <v>82</v>
      </c>
      <c r="Q17" s="10"/>
      <c r="R17" s="10"/>
      <c r="S17" s="10" t="s">
        <v>172</v>
      </c>
      <c r="T17" s="10" t="s">
        <v>173</v>
      </c>
      <c r="U17" s="15"/>
      <c r="V17" s="10" t="s">
        <v>174</v>
      </c>
      <c r="W17" s="10"/>
      <c r="X17" s="12" t="s">
        <v>175</v>
      </c>
      <c r="Y17" s="16" t="s">
        <v>176</v>
      </c>
    </row>
    <row r="18">
      <c r="A18" s="18" t="s">
        <v>177</v>
      </c>
      <c r="B18" s="16" t="s">
        <v>178</v>
      </c>
      <c r="C18" s="14">
        <v>0.0</v>
      </c>
      <c r="D18" s="9" t="s">
        <v>179</v>
      </c>
      <c r="E18" s="10" t="s">
        <v>157</v>
      </c>
      <c r="F18" s="10" t="s">
        <v>81</v>
      </c>
      <c r="G18" s="10"/>
      <c r="H18" s="10"/>
      <c r="I18" s="10"/>
      <c r="J18" s="10"/>
      <c r="K18" s="10"/>
      <c r="L18" s="10"/>
      <c r="M18" s="10" t="s">
        <v>82</v>
      </c>
      <c r="N18" s="10" t="s">
        <v>95</v>
      </c>
      <c r="O18" s="10"/>
      <c r="P18" s="10"/>
      <c r="Q18" s="10"/>
      <c r="R18" s="10"/>
      <c r="S18" s="15"/>
      <c r="T18" s="10"/>
      <c r="U18" s="10" t="s">
        <v>180</v>
      </c>
      <c r="V18" s="10" t="s">
        <v>181</v>
      </c>
      <c r="W18" s="10"/>
      <c r="X18" s="12" t="s">
        <v>175</v>
      </c>
      <c r="Y18" s="16" t="s">
        <v>182</v>
      </c>
    </row>
    <row r="19" ht="15.0" customHeight="1">
      <c r="A19" s="22"/>
      <c r="B19" s="10" t="s">
        <v>183</v>
      </c>
      <c r="C19" s="14">
        <v>0.0</v>
      </c>
      <c r="D19" s="10" t="s">
        <v>184</v>
      </c>
      <c r="E19" s="10" t="s">
        <v>81</v>
      </c>
      <c r="F19" s="10" t="s">
        <v>81</v>
      </c>
      <c r="G19" s="10"/>
      <c r="H19" s="10" t="s">
        <v>102</v>
      </c>
      <c r="I19" s="10" t="s">
        <v>95</v>
      </c>
      <c r="J19" s="10" t="s">
        <v>82</v>
      </c>
      <c r="K19" s="10"/>
      <c r="L19" s="10"/>
      <c r="M19" s="10"/>
      <c r="N19" s="10"/>
      <c r="O19" s="10"/>
      <c r="P19" s="10"/>
      <c r="Q19" s="10"/>
      <c r="R19" s="10"/>
      <c r="S19" s="10" t="s">
        <v>185</v>
      </c>
      <c r="T19" s="10" t="s">
        <v>186</v>
      </c>
      <c r="U19" s="10" t="s">
        <v>187</v>
      </c>
      <c r="V19" s="10"/>
      <c r="W19" s="9" t="s">
        <v>188</v>
      </c>
      <c r="X19" s="12"/>
      <c r="Y19" s="16" t="s">
        <v>189</v>
      </c>
    </row>
    <row r="20">
      <c r="A20" s="32" t="s">
        <v>190</v>
      </c>
      <c r="B20" s="26" t="s">
        <v>191</v>
      </c>
      <c r="C20" s="33" t="s">
        <v>190</v>
      </c>
      <c r="D20" s="26" t="s">
        <v>79</v>
      </c>
      <c r="E20" s="26" t="s">
        <v>81</v>
      </c>
      <c r="F20" s="26" t="s">
        <v>81</v>
      </c>
      <c r="G20" s="26" t="s">
        <v>101</v>
      </c>
      <c r="H20" s="26" t="s">
        <v>102</v>
      </c>
      <c r="I20" s="26" t="s">
        <v>82</v>
      </c>
      <c r="J20" s="26" t="s">
        <v>102</v>
      </c>
      <c r="K20" s="26"/>
      <c r="L20" s="26"/>
      <c r="M20" s="26"/>
      <c r="N20" s="26"/>
      <c r="O20" s="26"/>
      <c r="P20" s="26"/>
      <c r="Q20" s="26"/>
      <c r="R20" s="27"/>
      <c r="S20" s="26" t="s">
        <v>192</v>
      </c>
      <c r="T20" s="26" t="s">
        <v>193</v>
      </c>
      <c r="U20" s="27"/>
      <c r="V20" s="26" t="s">
        <v>194</v>
      </c>
      <c r="W20" s="26" t="s">
        <v>195</v>
      </c>
      <c r="X20" s="28" t="s">
        <v>87</v>
      </c>
      <c r="Y20" s="13" t="s">
        <v>196</v>
      </c>
    </row>
    <row r="21">
      <c r="A21" s="16" t="str">
        <f>HYPERLINK("https://learnitstepbystep.blogspot.com/2018/07/download-led-edit-2014-2016-2017-2018.html","LEDEdit")</f>
        <v>LEDEdit</v>
      </c>
      <c r="B21" s="15"/>
      <c r="C21" s="14">
        <v>0.0</v>
      </c>
      <c r="D21" s="10" t="s">
        <v>197</v>
      </c>
      <c r="E21" s="15"/>
      <c r="F21" s="15"/>
      <c r="G21" s="15"/>
      <c r="H21" s="10"/>
      <c r="I21" s="10"/>
      <c r="J21" s="10"/>
      <c r="K21" s="10"/>
      <c r="L21" s="10"/>
      <c r="M21" s="10"/>
      <c r="N21" s="10"/>
      <c r="O21" s="10"/>
      <c r="P21" s="10"/>
      <c r="Q21" s="10"/>
      <c r="R21" s="15"/>
      <c r="S21" s="15"/>
      <c r="T21" s="10" t="s">
        <v>198</v>
      </c>
      <c r="U21" s="10" t="s">
        <v>199</v>
      </c>
      <c r="V21" s="15"/>
      <c r="W21" s="10"/>
      <c r="X21" s="12"/>
      <c r="Y21" s="16" t="s">
        <v>200</v>
      </c>
    </row>
    <row r="22">
      <c r="A22" s="13" t="s">
        <v>201</v>
      </c>
      <c r="B22" s="9" t="s">
        <v>202</v>
      </c>
      <c r="C22" s="14">
        <v>-1.0</v>
      </c>
      <c r="D22" s="9" t="s">
        <v>203</v>
      </c>
      <c r="E22" s="10" t="s">
        <v>81</v>
      </c>
      <c r="F22" s="10" t="s">
        <v>157</v>
      </c>
      <c r="G22" s="10"/>
      <c r="H22" s="10"/>
      <c r="I22" s="10" t="s">
        <v>95</v>
      </c>
      <c r="J22" s="10"/>
      <c r="K22" s="10"/>
      <c r="L22" s="9" t="s">
        <v>95</v>
      </c>
      <c r="M22" s="10"/>
      <c r="N22" s="10"/>
      <c r="O22" s="10"/>
      <c r="P22" s="10"/>
      <c r="Q22" s="10"/>
      <c r="R22" s="9" t="s">
        <v>204</v>
      </c>
      <c r="S22" s="10" t="s">
        <v>68</v>
      </c>
      <c r="T22" s="10" t="s">
        <v>205</v>
      </c>
      <c r="U22" s="10"/>
      <c r="V22" s="9" t="s">
        <v>206</v>
      </c>
      <c r="W22" s="9" t="s">
        <v>167</v>
      </c>
      <c r="X22" s="12" t="s">
        <v>87</v>
      </c>
      <c r="Y22" s="13" t="s">
        <v>207</v>
      </c>
    </row>
    <row r="23">
      <c r="A23" s="13" t="s">
        <v>208</v>
      </c>
      <c r="B23" s="9" t="s">
        <v>209</v>
      </c>
      <c r="C23" s="14">
        <v>-1.0</v>
      </c>
      <c r="D23" s="9" t="s">
        <v>210</v>
      </c>
      <c r="E23" s="10" t="s">
        <v>81</v>
      </c>
      <c r="F23" s="10"/>
      <c r="G23" s="10"/>
      <c r="H23" s="10" t="s">
        <v>95</v>
      </c>
      <c r="I23" s="10"/>
      <c r="J23" s="10"/>
      <c r="K23" s="10"/>
      <c r="L23" s="10"/>
      <c r="M23" s="10"/>
      <c r="N23" s="10"/>
      <c r="O23" s="10"/>
      <c r="P23" s="10"/>
      <c r="Q23" s="10"/>
      <c r="R23" s="10"/>
      <c r="S23" s="10"/>
      <c r="T23" s="10"/>
      <c r="U23" s="15"/>
      <c r="V23" s="10" t="s">
        <v>211</v>
      </c>
      <c r="W23" s="10"/>
      <c r="X23" s="12"/>
      <c r="Y23" s="30" t="s">
        <v>212</v>
      </c>
    </row>
    <row r="24">
      <c r="A24" s="16" t="str">
        <f>HYPERLINK("https://www.rocketlife.com/technology/","LightDesigner")</f>
        <v>LightDesigner</v>
      </c>
      <c r="B24" s="10" t="s">
        <v>213</v>
      </c>
      <c r="C24" s="14">
        <v>0.0</v>
      </c>
      <c r="D24" s="9" t="s">
        <v>100</v>
      </c>
      <c r="E24" s="15"/>
      <c r="F24" s="10" t="s">
        <v>81</v>
      </c>
      <c r="G24" s="10"/>
      <c r="H24" s="10"/>
      <c r="I24" s="10"/>
      <c r="J24" s="10"/>
      <c r="K24" s="10"/>
      <c r="L24" s="10"/>
      <c r="M24" s="10"/>
      <c r="N24" s="10"/>
      <c r="O24" s="10"/>
      <c r="P24" s="10"/>
      <c r="Q24" s="10"/>
      <c r="R24" s="15"/>
      <c r="S24" s="10" t="s">
        <v>214</v>
      </c>
      <c r="T24" s="10" t="s">
        <v>215</v>
      </c>
      <c r="U24" s="10" t="s">
        <v>216</v>
      </c>
      <c r="V24" s="10" t="s">
        <v>217</v>
      </c>
      <c r="W24" s="10"/>
      <c r="X24" s="12" t="s">
        <v>218</v>
      </c>
      <c r="Y24" s="23" t="s">
        <v>219</v>
      </c>
    </row>
    <row r="25">
      <c r="A25" s="24" t="s">
        <v>220</v>
      </c>
      <c r="B25" s="26" t="s">
        <v>221</v>
      </c>
      <c r="C25" s="25" t="s">
        <v>222</v>
      </c>
      <c r="D25" s="26" t="s">
        <v>79</v>
      </c>
      <c r="E25" s="26" t="s">
        <v>81</v>
      </c>
      <c r="F25" s="26" t="s">
        <v>81</v>
      </c>
      <c r="G25" s="26"/>
      <c r="H25" s="26" t="s">
        <v>102</v>
      </c>
      <c r="I25" s="26" t="s">
        <v>102</v>
      </c>
      <c r="J25" s="26" t="s">
        <v>102</v>
      </c>
      <c r="K25" s="26"/>
      <c r="L25" s="26"/>
      <c r="M25" s="26"/>
      <c r="N25" s="26"/>
      <c r="O25" s="26" t="s">
        <v>102</v>
      </c>
      <c r="P25" s="26" t="s">
        <v>102</v>
      </c>
      <c r="Q25" s="26" t="s">
        <v>102</v>
      </c>
      <c r="R25" s="27"/>
      <c r="S25" s="26" t="s">
        <v>223</v>
      </c>
      <c r="T25" s="26"/>
      <c r="U25" s="27"/>
      <c r="V25" s="26" t="s">
        <v>224</v>
      </c>
      <c r="W25" s="26" t="s">
        <v>225</v>
      </c>
      <c r="X25" s="28" t="s">
        <v>87</v>
      </c>
      <c r="Y25" s="23" t="s">
        <v>226</v>
      </c>
    </row>
    <row r="26">
      <c r="A26" s="16" t="str">
        <f>HYPERLINK("https://www.rocketlife.com/technology/","LightMobile")</f>
        <v>LightMobile</v>
      </c>
      <c r="B26" s="10" t="s">
        <v>213</v>
      </c>
      <c r="C26" s="14">
        <v>0.0</v>
      </c>
      <c r="D26" s="9" t="s">
        <v>227</v>
      </c>
      <c r="E26" s="10" t="s">
        <v>81</v>
      </c>
      <c r="F26" s="10" t="s">
        <v>157</v>
      </c>
      <c r="G26" s="10"/>
      <c r="H26" s="10"/>
      <c r="I26" s="10"/>
      <c r="J26" s="10"/>
      <c r="K26" s="10"/>
      <c r="L26" s="10"/>
      <c r="M26" s="10"/>
      <c r="N26" s="10"/>
      <c r="O26" s="10"/>
      <c r="P26" s="10"/>
      <c r="Q26" s="10"/>
      <c r="R26" s="10"/>
      <c r="S26" s="10" t="s">
        <v>214</v>
      </c>
      <c r="T26" s="10" t="s">
        <v>215</v>
      </c>
      <c r="U26" s="10" t="s">
        <v>216</v>
      </c>
      <c r="V26" s="10" t="s">
        <v>217</v>
      </c>
      <c r="W26" s="10"/>
      <c r="X26" s="12" t="s">
        <v>218</v>
      </c>
      <c r="Y26" s="23" t="s">
        <v>219</v>
      </c>
    </row>
    <row r="27">
      <c r="A27" s="13" t="s">
        <v>228</v>
      </c>
      <c r="B27" s="23" t="s">
        <v>228</v>
      </c>
      <c r="C27" s="14" t="s">
        <v>229</v>
      </c>
      <c r="D27" s="9" t="s">
        <v>230</v>
      </c>
      <c r="E27" s="9" t="s">
        <v>157</v>
      </c>
      <c r="F27" s="9" t="s">
        <v>157</v>
      </c>
      <c r="G27" s="10"/>
      <c r="H27" s="9" t="s">
        <v>95</v>
      </c>
      <c r="I27" s="9"/>
      <c r="J27" s="10"/>
      <c r="K27" s="10"/>
      <c r="L27" s="10"/>
      <c r="M27" s="9"/>
      <c r="N27" s="10"/>
      <c r="O27" s="10"/>
      <c r="P27" s="9" t="s">
        <v>95</v>
      </c>
      <c r="Q27" s="9"/>
      <c r="R27" s="9"/>
      <c r="S27" s="9" t="s">
        <v>231</v>
      </c>
      <c r="T27" s="9" t="s">
        <v>232</v>
      </c>
      <c r="U27" s="9" t="s">
        <v>233</v>
      </c>
      <c r="V27" s="22" t="s">
        <v>234</v>
      </c>
      <c r="W27" s="9" t="s">
        <v>235</v>
      </c>
      <c r="X27" s="12" t="s">
        <v>87</v>
      </c>
      <c r="Y27" s="13" t="s">
        <v>236</v>
      </c>
    </row>
    <row r="28">
      <c r="A28" s="13" t="s">
        <v>237</v>
      </c>
      <c r="B28" s="10" t="s">
        <v>238</v>
      </c>
      <c r="C28" s="14">
        <v>0.0</v>
      </c>
      <c r="D28" s="9" t="s">
        <v>239</v>
      </c>
      <c r="E28" s="10" t="s">
        <v>81</v>
      </c>
      <c r="F28" s="10" t="s">
        <v>81</v>
      </c>
      <c r="G28" s="9" t="s">
        <v>129</v>
      </c>
      <c r="H28" s="10" t="s">
        <v>102</v>
      </c>
      <c r="I28" s="10" t="s">
        <v>102</v>
      </c>
      <c r="J28" s="10" t="s">
        <v>102</v>
      </c>
      <c r="K28" s="10" t="s">
        <v>102</v>
      </c>
      <c r="L28" s="10"/>
      <c r="M28" s="9" t="s">
        <v>102</v>
      </c>
      <c r="N28" s="10" t="s">
        <v>102</v>
      </c>
      <c r="O28" s="10" t="s">
        <v>102</v>
      </c>
      <c r="P28" s="9" t="s">
        <v>82</v>
      </c>
      <c r="Q28" s="10" t="s">
        <v>102</v>
      </c>
      <c r="R28" s="9" t="s">
        <v>240</v>
      </c>
      <c r="S28" s="10" t="s">
        <v>241</v>
      </c>
      <c r="T28" s="10" t="s">
        <v>242</v>
      </c>
      <c r="U28" s="10"/>
      <c r="V28" s="9" t="s">
        <v>243</v>
      </c>
      <c r="W28" s="9" t="s">
        <v>244</v>
      </c>
      <c r="X28" s="12" t="s">
        <v>87</v>
      </c>
      <c r="Y28" s="13" t="s">
        <v>245</v>
      </c>
    </row>
    <row r="29">
      <c r="A29" s="16" t="str">
        <f>HYPERLINK("https://madmapper.com/madmapper/ ","MadMapper")</f>
        <v>MadMapper</v>
      </c>
      <c r="B29" s="10" t="s">
        <v>246</v>
      </c>
      <c r="C29" s="11">
        <f>IFERROR(__xludf.DUMMYFUNCTION("GOOGLEFINANCE(""CURRENCY:EURUSD"")*359"),419.63151)</f>
        <v>419.63151</v>
      </c>
      <c r="D29" s="9" t="s">
        <v>100</v>
      </c>
      <c r="E29" s="15"/>
      <c r="F29" s="10" t="s">
        <v>81</v>
      </c>
      <c r="G29" s="10"/>
      <c r="H29" s="10" t="s">
        <v>102</v>
      </c>
      <c r="I29" s="10" t="s">
        <v>102</v>
      </c>
      <c r="J29" s="10" t="s">
        <v>102</v>
      </c>
      <c r="K29" s="10"/>
      <c r="L29" s="10"/>
      <c r="M29" s="10"/>
      <c r="N29" s="10"/>
      <c r="O29" s="10" t="s">
        <v>82</v>
      </c>
      <c r="P29" s="10"/>
      <c r="Q29" s="10"/>
      <c r="R29" s="15"/>
      <c r="S29" s="10" t="s">
        <v>247</v>
      </c>
      <c r="T29" s="10" t="s">
        <v>248</v>
      </c>
      <c r="U29" s="10"/>
      <c r="V29" s="15"/>
      <c r="W29" s="10"/>
      <c r="X29" s="12" t="s">
        <v>249</v>
      </c>
      <c r="Y29" s="23" t="s">
        <v>250</v>
      </c>
    </row>
    <row r="30">
      <c r="A30" s="16" t="str">
        <f>HYPERLINK("https://www.madrix.com/products/software","MADRIX 5")</f>
        <v>MADRIX 5</v>
      </c>
      <c r="B30" s="10" t="s">
        <v>251</v>
      </c>
      <c r="C30" s="14" t="s">
        <v>252</v>
      </c>
      <c r="D30" s="10" t="s">
        <v>79</v>
      </c>
      <c r="E30" s="10" t="s">
        <v>81</v>
      </c>
      <c r="F30" s="10" t="s">
        <v>81</v>
      </c>
      <c r="G30" s="10"/>
      <c r="H30" s="9" t="s">
        <v>102</v>
      </c>
      <c r="I30" s="10" t="s">
        <v>102</v>
      </c>
      <c r="J30" s="10" t="s">
        <v>102</v>
      </c>
      <c r="K30" s="10" t="s">
        <v>95</v>
      </c>
      <c r="L30" s="10"/>
      <c r="M30" s="10"/>
      <c r="N30" s="10"/>
      <c r="O30" s="9" t="s">
        <v>102</v>
      </c>
      <c r="P30" s="9" t="s">
        <v>102</v>
      </c>
      <c r="Q30" s="10"/>
      <c r="R30" s="10"/>
      <c r="S30" s="9" t="s">
        <v>253</v>
      </c>
      <c r="T30" s="9" t="s">
        <v>254</v>
      </c>
      <c r="U30" s="10"/>
      <c r="V30" s="9" t="s">
        <v>255</v>
      </c>
      <c r="W30" s="9" t="s">
        <v>256</v>
      </c>
      <c r="X30" s="12" t="s">
        <v>249</v>
      </c>
      <c r="Y30" s="16" t="s">
        <v>257</v>
      </c>
    </row>
    <row r="31" ht="15.75" customHeight="1">
      <c r="A31" s="13" t="s">
        <v>258</v>
      </c>
      <c r="B31" s="9" t="s">
        <v>259</v>
      </c>
      <c r="C31" s="14" t="s">
        <v>260</v>
      </c>
      <c r="D31" s="9" t="s">
        <v>239</v>
      </c>
      <c r="E31" s="9" t="s">
        <v>81</v>
      </c>
      <c r="F31" s="9" t="s">
        <v>81</v>
      </c>
      <c r="G31" s="9" t="s">
        <v>129</v>
      </c>
      <c r="H31" s="9" t="s">
        <v>102</v>
      </c>
      <c r="I31" s="10"/>
      <c r="J31" s="10"/>
      <c r="K31" s="10"/>
      <c r="L31" s="10"/>
      <c r="M31" s="10"/>
      <c r="N31" s="10"/>
      <c r="O31" s="10"/>
      <c r="P31" s="10"/>
      <c r="Q31" s="10"/>
      <c r="R31" s="9"/>
      <c r="S31" s="10"/>
      <c r="T31" s="10"/>
      <c r="U31" s="10"/>
      <c r="V31" s="9" t="s">
        <v>261</v>
      </c>
      <c r="W31" s="9" t="s">
        <v>262</v>
      </c>
      <c r="X31" s="12" t="s">
        <v>249</v>
      </c>
      <c r="Y31" s="30" t="s">
        <v>263</v>
      </c>
    </row>
    <row r="32">
      <c r="A32" s="23" t="s">
        <v>264</v>
      </c>
      <c r="B32" s="9" t="s">
        <v>265</v>
      </c>
      <c r="C32" s="14">
        <f>IFERROR(__xludf.DUMMYFUNCTION("GOOGLEFINANCE(""CURRENCY:EURUSD"")*200"),233.778)</f>
        <v>233.778</v>
      </c>
      <c r="D32" s="9" t="s">
        <v>266</v>
      </c>
      <c r="E32" s="9" t="s">
        <v>81</v>
      </c>
      <c r="F32" s="9" t="s">
        <v>81</v>
      </c>
      <c r="G32" s="10"/>
      <c r="H32" s="9" t="s">
        <v>95</v>
      </c>
      <c r="I32" s="9" t="s">
        <v>157</v>
      </c>
      <c r="J32" s="9" t="s">
        <v>157</v>
      </c>
      <c r="K32" s="9" t="s">
        <v>157</v>
      </c>
      <c r="L32" s="9"/>
      <c r="M32" s="10"/>
      <c r="N32" s="9" t="s">
        <v>95</v>
      </c>
      <c r="O32" s="9" t="s">
        <v>102</v>
      </c>
      <c r="P32" s="9" t="s">
        <v>95</v>
      </c>
      <c r="Q32" s="10"/>
      <c r="R32" s="9"/>
      <c r="S32" s="10" t="s">
        <v>267</v>
      </c>
      <c r="T32" s="9"/>
      <c r="U32" s="10"/>
      <c r="V32" s="9" t="s">
        <v>268</v>
      </c>
      <c r="W32" s="9" t="s">
        <v>269</v>
      </c>
      <c r="X32" s="12" t="s">
        <v>249</v>
      </c>
      <c r="Y32" s="30" t="s">
        <v>270</v>
      </c>
    </row>
    <row r="33" ht="15.75" customHeight="1">
      <c r="A33" s="24" t="s">
        <v>271</v>
      </c>
      <c r="B33" s="26" t="s">
        <v>272</v>
      </c>
      <c r="C33" s="25" t="s">
        <v>273</v>
      </c>
      <c r="D33" s="26" t="s">
        <v>274</v>
      </c>
      <c r="E33" s="26" t="s">
        <v>81</v>
      </c>
      <c r="F33" s="26"/>
      <c r="G33" s="26"/>
      <c r="H33" s="26" t="s">
        <v>102</v>
      </c>
      <c r="I33" s="26" t="s">
        <v>102</v>
      </c>
      <c r="J33" s="26" t="s">
        <v>95</v>
      </c>
      <c r="K33" s="26"/>
      <c r="L33" s="26"/>
      <c r="M33" s="26"/>
      <c r="N33" s="26"/>
      <c r="O33" s="26" t="s">
        <v>130</v>
      </c>
      <c r="P33" s="26"/>
      <c r="Q33" s="26"/>
      <c r="R33" s="27"/>
      <c r="S33" s="26"/>
      <c r="T33" s="26"/>
      <c r="U33" s="27"/>
      <c r="V33" s="26"/>
      <c r="W33" s="26" t="s">
        <v>275</v>
      </c>
      <c r="X33" s="28" t="s">
        <v>87</v>
      </c>
      <c r="Y33" s="13" t="s">
        <v>276</v>
      </c>
    </row>
    <row r="34" ht="15.75" customHeight="1">
      <c r="A34" s="23" t="s">
        <v>277</v>
      </c>
      <c r="B34" s="10" t="s">
        <v>278</v>
      </c>
      <c r="C34" s="14">
        <v>39.0</v>
      </c>
      <c r="D34" s="9" t="s">
        <v>279</v>
      </c>
      <c r="E34" s="10" t="s">
        <v>81</v>
      </c>
      <c r="F34" s="9" t="s">
        <v>81</v>
      </c>
      <c r="G34" s="9" t="s">
        <v>129</v>
      </c>
      <c r="H34" s="10"/>
      <c r="I34" s="10"/>
      <c r="J34" s="10"/>
      <c r="K34" s="10"/>
      <c r="L34" s="10"/>
      <c r="M34" s="9" t="s">
        <v>102</v>
      </c>
      <c r="N34" s="10"/>
      <c r="O34" s="10"/>
      <c r="P34" s="9" t="s">
        <v>82</v>
      </c>
      <c r="Q34" s="9" t="s">
        <v>102</v>
      </c>
      <c r="R34" s="9" t="s">
        <v>280</v>
      </c>
      <c r="S34" s="10" t="s">
        <v>281</v>
      </c>
      <c r="T34" s="9" t="s">
        <v>282</v>
      </c>
      <c r="U34" s="9" t="s">
        <v>283</v>
      </c>
      <c r="V34" s="9" t="s">
        <v>284</v>
      </c>
      <c r="W34" s="9" t="s">
        <v>285</v>
      </c>
      <c r="X34" s="12" t="s">
        <v>87</v>
      </c>
      <c r="Y34" s="13" t="s">
        <v>286</v>
      </c>
    </row>
    <row r="35">
      <c r="A35" s="30" t="str">
        <f>HYPERLINK("https://www.protopixel.io/design","ProtoPixel Create")</f>
        <v>ProtoPixel Create</v>
      </c>
      <c r="B35" s="9" t="s">
        <v>287</v>
      </c>
      <c r="C35" s="14">
        <v>176.0</v>
      </c>
      <c r="D35" s="9" t="s">
        <v>274</v>
      </c>
      <c r="E35" s="9" t="s">
        <v>81</v>
      </c>
      <c r="F35" s="9" t="s">
        <v>81</v>
      </c>
      <c r="G35" s="9" t="s">
        <v>101</v>
      </c>
      <c r="H35" s="9" t="s">
        <v>102</v>
      </c>
      <c r="I35" s="10"/>
      <c r="J35" s="10"/>
      <c r="K35" s="10"/>
      <c r="L35" s="10"/>
      <c r="M35" s="10"/>
      <c r="N35" s="10"/>
      <c r="O35" s="9" t="s">
        <v>82</v>
      </c>
      <c r="P35" s="9" t="s">
        <v>102</v>
      </c>
      <c r="Q35" s="9" t="s">
        <v>82</v>
      </c>
      <c r="R35" s="9"/>
      <c r="S35" s="9" t="s">
        <v>288</v>
      </c>
      <c r="T35" s="9" t="s">
        <v>289</v>
      </c>
      <c r="U35" s="9" t="s">
        <v>290</v>
      </c>
      <c r="V35" s="10"/>
      <c r="W35" s="9" t="s">
        <v>291</v>
      </c>
      <c r="X35" s="12"/>
      <c r="Y35" s="23" t="s">
        <v>292</v>
      </c>
    </row>
    <row r="36" ht="15.75" customHeight="1">
      <c r="A36" s="16" t="str">
        <f>HYPERLINK("https://www.qlcplus.org/","QLC+")</f>
        <v>QLC+</v>
      </c>
      <c r="B36" s="10" t="s">
        <v>293</v>
      </c>
      <c r="C36" s="14">
        <v>-1.0</v>
      </c>
      <c r="D36" s="9" t="s">
        <v>109</v>
      </c>
      <c r="E36" s="10" t="s">
        <v>81</v>
      </c>
      <c r="F36" s="10" t="s">
        <v>81</v>
      </c>
      <c r="G36" s="9" t="s">
        <v>294</v>
      </c>
      <c r="H36" s="10" t="s">
        <v>102</v>
      </c>
      <c r="I36" s="10" t="s">
        <v>102</v>
      </c>
      <c r="J36" s="10" t="s">
        <v>102</v>
      </c>
      <c r="K36" s="10"/>
      <c r="L36" s="10"/>
      <c r="M36" s="10" t="s">
        <v>95</v>
      </c>
      <c r="N36" s="10" t="s">
        <v>95</v>
      </c>
      <c r="O36" s="10"/>
      <c r="P36" s="10" t="s">
        <v>82</v>
      </c>
      <c r="Q36" s="9" t="s">
        <v>102</v>
      </c>
      <c r="R36" s="9" t="s">
        <v>295</v>
      </c>
      <c r="S36" s="9" t="s">
        <v>296</v>
      </c>
      <c r="T36" s="9" t="s">
        <v>297</v>
      </c>
      <c r="U36" s="13" t="s">
        <v>298</v>
      </c>
      <c r="V36" s="9" t="s">
        <v>299</v>
      </c>
      <c r="W36" s="9" t="s">
        <v>300</v>
      </c>
      <c r="X36" s="12" t="s">
        <v>87</v>
      </c>
      <c r="Y36" s="16" t="s">
        <v>301</v>
      </c>
    </row>
    <row r="37" ht="15.75" customHeight="1">
      <c r="A37" s="16" t="str">
        <f>HYPERLINK("https://resolume.com/software","Resolume")</f>
        <v>Resolume</v>
      </c>
      <c r="B37" s="15"/>
      <c r="C37" s="11">
        <f>IFERROR(__xludf.DUMMYFUNCTION("GOOGLEFINANCE(""CURRENCY:EURUSD"")*299"),349.49811)</f>
        <v>349.49811</v>
      </c>
      <c r="D37" s="9" t="s">
        <v>100</v>
      </c>
      <c r="E37" s="10" t="s">
        <v>81</v>
      </c>
      <c r="F37" s="10" t="s">
        <v>81</v>
      </c>
      <c r="G37" s="10"/>
      <c r="H37" s="10" t="s">
        <v>102</v>
      </c>
      <c r="I37" s="10"/>
      <c r="J37" s="10" t="s">
        <v>102</v>
      </c>
      <c r="K37" s="10"/>
      <c r="L37" s="10"/>
      <c r="M37" s="10"/>
      <c r="N37" s="10"/>
      <c r="O37" s="10" t="s">
        <v>82</v>
      </c>
      <c r="P37" s="10" t="s">
        <v>82</v>
      </c>
      <c r="Q37" s="10"/>
      <c r="R37" s="10"/>
      <c r="S37" s="10" t="s">
        <v>302</v>
      </c>
      <c r="T37" s="10" t="s">
        <v>166</v>
      </c>
      <c r="U37" s="10"/>
      <c r="V37" s="10" t="s">
        <v>303</v>
      </c>
      <c r="W37" s="10"/>
      <c r="X37" s="12" t="s">
        <v>87</v>
      </c>
      <c r="Y37" s="16" t="s">
        <v>304</v>
      </c>
    </row>
    <row r="38">
      <c r="A38" s="16" t="str">
        <f>HYPERLINK("https://smode.fr/","Smode")</f>
        <v>Smode</v>
      </c>
      <c r="B38" s="15"/>
      <c r="C38" s="14" t="s">
        <v>305</v>
      </c>
      <c r="D38" s="9" t="s">
        <v>79</v>
      </c>
      <c r="E38" s="10" t="s">
        <v>81</v>
      </c>
      <c r="F38" s="10" t="s">
        <v>81</v>
      </c>
      <c r="G38" s="10"/>
      <c r="H38" s="10" t="s">
        <v>102</v>
      </c>
      <c r="I38" s="10" t="s">
        <v>102</v>
      </c>
      <c r="J38" s="10" t="s">
        <v>82</v>
      </c>
      <c r="K38" s="10"/>
      <c r="L38" s="10"/>
      <c r="M38" s="10"/>
      <c r="N38" s="10" t="s">
        <v>102</v>
      </c>
      <c r="O38" s="10" t="s">
        <v>102</v>
      </c>
      <c r="P38" s="10" t="s">
        <v>102</v>
      </c>
      <c r="Q38" s="10" t="s">
        <v>102</v>
      </c>
      <c r="R38" s="10"/>
      <c r="S38" s="10" t="s">
        <v>306</v>
      </c>
      <c r="T38" s="10" t="s">
        <v>307</v>
      </c>
      <c r="U38" s="10"/>
      <c r="V38" s="9" t="s">
        <v>308</v>
      </c>
      <c r="W38" s="9" t="s">
        <v>309</v>
      </c>
      <c r="X38" s="12" t="s">
        <v>87</v>
      </c>
      <c r="Y38" s="16" t="s">
        <v>310</v>
      </c>
    </row>
    <row r="39">
      <c r="A39" s="23" t="s">
        <v>311</v>
      </c>
      <c r="B39" s="9" t="s">
        <v>312</v>
      </c>
      <c r="C39" s="14" t="s">
        <v>313</v>
      </c>
      <c r="D39" s="9" t="s">
        <v>314</v>
      </c>
      <c r="E39" s="9" t="s">
        <v>81</v>
      </c>
      <c r="F39" s="9" t="s">
        <v>81</v>
      </c>
      <c r="G39" s="9" t="s">
        <v>315</v>
      </c>
      <c r="H39" s="9" t="s">
        <v>102</v>
      </c>
      <c r="I39" s="9" t="s">
        <v>102</v>
      </c>
      <c r="J39" s="9" t="s">
        <v>102</v>
      </c>
      <c r="K39" s="9" t="s">
        <v>102</v>
      </c>
      <c r="L39" s="9"/>
      <c r="M39" s="9" t="s">
        <v>102</v>
      </c>
      <c r="N39" s="9" t="s">
        <v>102</v>
      </c>
      <c r="O39" s="9" t="s">
        <v>102</v>
      </c>
      <c r="P39" s="9" t="s">
        <v>102</v>
      </c>
      <c r="Q39" s="9" t="s">
        <v>102</v>
      </c>
      <c r="R39" s="9" t="s">
        <v>316</v>
      </c>
      <c r="S39" s="9" t="s">
        <v>317</v>
      </c>
      <c r="T39" s="9" t="s">
        <v>318</v>
      </c>
      <c r="U39" s="9" t="s">
        <v>319</v>
      </c>
      <c r="V39" s="9" t="s">
        <v>320</v>
      </c>
      <c r="W39" s="9" t="s">
        <v>321</v>
      </c>
      <c r="X39" s="12" t="s">
        <v>87</v>
      </c>
      <c r="Y39" s="13" t="s">
        <v>322</v>
      </c>
    </row>
    <row r="40">
      <c r="A40" s="16" t="str">
        <f>HYPERLINK("http://www.vixenlights.com/downloads/","Vixen Lights")</f>
        <v>Vixen Lights</v>
      </c>
      <c r="B40" s="15"/>
      <c r="C40" s="14">
        <v>0.0</v>
      </c>
      <c r="D40" s="14">
        <v>0.0</v>
      </c>
      <c r="E40" s="10" t="s">
        <v>157</v>
      </c>
      <c r="F40" s="10" t="s">
        <v>81</v>
      </c>
      <c r="G40" s="10"/>
      <c r="H40" s="10" t="s">
        <v>95</v>
      </c>
      <c r="I40" s="10" t="s">
        <v>95</v>
      </c>
      <c r="J40" s="10" t="s">
        <v>95</v>
      </c>
      <c r="K40" s="10"/>
      <c r="L40" s="10"/>
      <c r="M40" s="10"/>
      <c r="N40" s="10"/>
      <c r="O40" s="10"/>
      <c r="P40" s="10"/>
      <c r="Q40" s="10"/>
      <c r="R40" s="10"/>
      <c r="S40" s="15"/>
      <c r="T40" s="10" t="s">
        <v>323</v>
      </c>
      <c r="U40" s="10"/>
      <c r="V40" s="10" t="s">
        <v>324</v>
      </c>
      <c r="W40" s="10"/>
      <c r="X40" s="12"/>
      <c r="Y40" s="23" t="s">
        <v>325</v>
      </c>
    </row>
    <row r="41">
      <c r="A41" s="13" t="s">
        <v>326</v>
      </c>
      <c r="B41" s="9" t="s">
        <v>327</v>
      </c>
      <c r="C41" s="14">
        <v>-1.0</v>
      </c>
      <c r="D41" s="9" t="s">
        <v>328</v>
      </c>
      <c r="E41" s="9" t="s">
        <v>81</v>
      </c>
      <c r="F41" s="9" t="s">
        <v>157</v>
      </c>
      <c r="G41" s="9" t="s">
        <v>329</v>
      </c>
      <c r="H41" s="9" t="s">
        <v>82</v>
      </c>
      <c r="I41" s="9" t="s">
        <v>82</v>
      </c>
      <c r="J41" s="9" t="s">
        <v>95</v>
      </c>
      <c r="K41" s="15"/>
      <c r="L41" s="9" t="s">
        <v>82</v>
      </c>
      <c r="M41" s="9" t="s">
        <v>130</v>
      </c>
      <c r="N41" s="9" t="s">
        <v>82</v>
      </c>
      <c r="O41" s="15"/>
      <c r="P41" s="15"/>
      <c r="Q41" s="15"/>
      <c r="R41" s="9" t="s">
        <v>295</v>
      </c>
      <c r="S41" s="9" t="s">
        <v>330</v>
      </c>
      <c r="T41" s="9" t="s">
        <v>331</v>
      </c>
      <c r="U41" s="9" t="s">
        <v>332</v>
      </c>
      <c r="V41" s="9" t="s">
        <v>333</v>
      </c>
      <c r="W41" s="9" t="s">
        <v>334</v>
      </c>
      <c r="X41" s="14" t="s">
        <v>87</v>
      </c>
      <c r="Y41" s="13" t="s">
        <v>335</v>
      </c>
    </row>
    <row r="42">
      <c r="A42" s="16" t="str">
        <f>HYPERLINK("www.xlights.org","xLights")</f>
        <v>xLights</v>
      </c>
      <c r="B42" s="15"/>
      <c r="C42" s="14">
        <v>0.0</v>
      </c>
      <c r="D42" s="9" t="s">
        <v>239</v>
      </c>
      <c r="E42" s="10" t="s">
        <v>157</v>
      </c>
      <c r="F42" s="10" t="s">
        <v>81</v>
      </c>
      <c r="G42" s="10"/>
      <c r="H42" s="10" t="s">
        <v>95</v>
      </c>
      <c r="I42" s="10" t="s">
        <v>95</v>
      </c>
      <c r="J42" s="10" t="s">
        <v>95</v>
      </c>
      <c r="K42" s="10"/>
      <c r="L42" s="10"/>
      <c r="M42" s="10"/>
      <c r="N42" s="10"/>
      <c r="O42" s="10"/>
      <c r="P42" s="9" t="s">
        <v>102</v>
      </c>
      <c r="Q42" s="10"/>
      <c r="R42" s="10"/>
      <c r="S42" s="10" t="s">
        <v>336</v>
      </c>
      <c r="T42" s="10" t="s">
        <v>337</v>
      </c>
      <c r="U42" s="10"/>
      <c r="V42" s="9" t="s">
        <v>338</v>
      </c>
      <c r="W42" s="10"/>
      <c r="X42" s="12" t="s">
        <v>87</v>
      </c>
      <c r="Y42" s="23" t="s">
        <v>339</v>
      </c>
    </row>
    <row r="43">
      <c r="A43" s="9" t="s">
        <v>340</v>
      </c>
      <c r="B43" s="9" t="s">
        <v>341</v>
      </c>
      <c r="C43" s="14" t="s">
        <v>91</v>
      </c>
      <c r="D43" s="9" t="s">
        <v>342</v>
      </c>
      <c r="E43" s="9" t="s">
        <v>157</v>
      </c>
      <c r="F43" s="9" t="s">
        <v>81</v>
      </c>
      <c r="G43" s="9" t="s">
        <v>343</v>
      </c>
      <c r="H43" s="10"/>
      <c r="I43" s="10"/>
      <c r="J43" s="10"/>
      <c r="K43" s="10"/>
      <c r="L43" s="10"/>
      <c r="M43" s="10"/>
      <c r="N43" s="10"/>
      <c r="O43" s="10"/>
      <c r="P43" s="9"/>
      <c r="Q43" s="10"/>
      <c r="R43" s="15"/>
      <c r="S43" s="10"/>
      <c r="T43" s="10"/>
      <c r="U43" s="10"/>
      <c r="V43" s="9"/>
      <c r="W43" s="10"/>
      <c r="X43" s="12"/>
      <c r="Y43" s="20"/>
    </row>
    <row r="44">
      <c r="A44" s="10"/>
      <c r="B44" s="10"/>
      <c r="C44" s="14"/>
      <c r="D44" s="9"/>
      <c r="E44" s="15"/>
      <c r="F44" s="10"/>
      <c r="G44" s="10"/>
      <c r="H44" s="10"/>
      <c r="I44" s="10"/>
      <c r="J44" s="10"/>
      <c r="K44" s="10"/>
      <c r="L44" s="10"/>
      <c r="M44" s="10"/>
      <c r="N44" s="10"/>
      <c r="O44" s="10"/>
      <c r="P44" s="10"/>
      <c r="Q44" s="10"/>
      <c r="R44" s="15"/>
      <c r="S44" s="10"/>
      <c r="T44" s="10"/>
      <c r="U44" s="10"/>
      <c r="V44" s="10"/>
      <c r="W44" s="10"/>
      <c r="X44" s="12"/>
      <c r="Y44" s="20"/>
    </row>
  </sheetData>
  <customSheetViews>
    <customSheetView guid="{C7462378-F9DE-4871-911C-33967FC0C576}" filter="1" showAutoFilter="1">
      <autoFilter ref="$A$1:$Y$43"/>
    </customSheetView>
    <customSheetView guid="{A3F6E28C-A007-4254-B957-4C0D19A040E1}" filter="1" showAutoFilter="1">
      <autoFilter ref="$A$1:$Y$43"/>
    </customSheetView>
    <customSheetView guid="{3F717826-385A-4CF3-ADBA-6077E9FF96EF}" filter="1" showAutoFilter="1">
      <autoFilter ref="$A$1:$Y$43">
        <filterColumn colId="8">
          <filters>
            <filter val="Output"/>
            <filter val="Both"/>
          </filters>
        </filterColumn>
      </autoFilter>
    </customSheetView>
    <customSheetView guid="{580044AE-5DD0-4303-8543-37BAAB861665}" filter="1" showAutoFilter="1">
      <autoFilter ref="$A$1:$Y$37"/>
    </customSheetView>
  </customSheetViews>
  <conditionalFormatting sqref="A1 B1:B9 C1:H44 I1:I32 J1:Y44 A3:A7 A9:A44 B11:B44 I34:I44">
    <cfRule type="expression" dxfId="5" priority="1">
      <formula>row()=1</formula>
    </cfRule>
  </conditionalFormatting>
  <conditionalFormatting sqref="A1 B1:B9 C1:H44 I1:I32 J1:Y44 A3:A7 A9:A44 B11:B44 I34:I44">
    <cfRule type="expression" dxfId="6" priority="2">
      <formula>isodd(row())</formula>
    </cfRule>
  </conditionalFormatting>
  <dataValidations>
    <dataValidation type="list" allowBlank="1" sqref="H2:Q44">
      <formula1>"Input,Output,Both,No,Soon,Possible"</formula1>
    </dataValidation>
  </dataValidations>
  <hyperlinks>
    <hyperlink r:id="rId4" ref="A2"/>
    <hyperlink r:id="rId5" ref="Y2"/>
    <hyperlink r:id="rId6" ref="Y3"/>
    <hyperlink r:id="rId7" ref="A5"/>
    <hyperlink r:id="rId8" ref="Y5"/>
    <hyperlink r:id="rId9" ref="A6"/>
    <hyperlink r:id="rId10" ref="Y6"/>
    <hyperlink r:id="rId11" ref="A7"/>
    <hyperlink r:id="rId12" ref="Y7"/>
    <hyperlink r:id="rId13" ref="A8"/>
    <hyperlink r:id="rId14" ref="Y8"/>
    <hyperlink r:id="rId15" ref="A9"/>
    <hyperlink r:id="rId16" ref="Y9"/>
    <hyperlink r:id="rId17" ref="A10"/>
    <hyperlink r:id="rId18" ref="A11"/>
    <hyperlink r:id="rId19" ref="V11"/>
    <hyperlink r:id="rId20" ref="Y11"/>
    <hyperlink r:id="rId21" ref="W12"/>
    <hyperlink r:id="rId22" ref="Y12"/>
    <hyperlink r:id="rId23" ref="A13"/>
    <hyperlink r:id="rId24" ref="Y13"/>
    <hyperlink r:id="rId25" ref="Y14"/>
    <hyperlink r:id="rId26" ref="Y15"/>
    <hyperlink r:id="rId27" ref="Y16"/>
    <hyperlink r:id="rId28" ref="Y17"/>
    <hyperlink r:id="rId29" ref="B18"/>
    <hyperlink r:id="rId30" ref="Y18"/>
    <hyperlink r:id="rId31" ref="Y19"/>
    <hyperlink r:id="rId32" ref="C20"/>
    <hyperlink r:id="rId33" ref="Y20"/>
    <hyperlink r:id="rId34" ref="Y21"/>
    <hyperlink r:id="rId35" ref="A22"/>
    <hyperlink r:id="rId36" ref="Y22"/>
    <hyperlink r:id="rId37" ref="A23"/>
    <hyperlink r:id="rId38" ref="Y23"/>
    <hyperlink r:id="rId39" ref="Y24"/>
    <hyperlink r:id="rId40" ref="A25"/>
    <hyperlink r:id="rId41" ref="Y25"/>
    <hyperlink r:id="rId42" ref="Y26"/>
    <hyperlink r:id="rId43" ref="A27"/>
    <hyperlink r:id="rId44" ref="B27"/>
    <hyperlink r:id="rId45" ref="Y27"/>
    <hyperlink r:id="rId46" ref="A28"/>
    <hyperlink r:id="rId47" ref="Y28"/>
    <hyperlink r:id="rId48" ref="Y29"/>
    <hyperlink r:id="rId49" ref="Y30"/>
    <hyperlink r:id="rId50" ref="A31"/>
    <hyperlink r:id="rId51" ref="Y31"/>
    <hyperlink r:id="rId52" ref="A32"/>
    <hyperlink r:id="rId53" ref="Y32"/>
    <hyperlink r:id="rId54" ref="A33"/>
    <hyperlink r:id="rId55" ref="Y33"/>
    <hyperlink r:id="rId56" ref="A34"/>
    <hyperlink r:id="rId57" ref="Y34"/>
    <hyperlink r:id="rId58" ref="Y35"/>
    <hyperlink r:id="rId59" ref="U36"/>
    <hyperlink r:id="rId60" ref="Y36"/>
    <hyperlink r:id="rId61" ref="Y37"/>
    <hyperlink r:id="rId62" ref="Y38"/>
    <hyperlink r:id="rId63" ref="A39"/>
    <hyperlink r:id="rId64" ref="Y39"/>
    <hyperlink r:id="rId65" ref="Y40"/>
    <hyperlink r:id="rId66" ref="A41"/>
    <hyperlink r:id="rId67" ref="Y41"/>
    <hyperlink r:id="rId68" ref="Y42"/>
  </hyperlinks>
  <printOptions gridLines="1" horizontalCentered="1"/>
  <pageMargins bottom="0.75" footer="0.0" header="0.0" left="0.25" right="0.25" top="0.75"/>
  <pageSetup fitToHeight="0" orientation="landscape" pageOrder="overThenDown"/>
  <drawing r:id="rId69"/>
  <legacyDrawing r:id="rId70"/>
  <tableParts count="1">
    <tablePart r:id="rId7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5"/>
    <col customWidth="1" min="2" max="2" width="25.88"/>
    <col customWidth="1" min="3" max="3" width="11.38"/>
    <col customWidth="1" min="4" max="4" width="9.38"/>
    <col customWidth="1" min="5" max="5" width="10.25"/>
    <col customWidth="1" min="6" max="6" width="24.88"/>
    <col customWidth="1" min="7" max="7" width="9.0"/>
    <col customWidth="1" min="8" max="9" width="10.0"/>
    <col customWidth="1" min="10" max="10" width="10.63"/>
    <col customWidth="1" min="11" max="11" width="11.63"/>
    <col customWidth="1" min="12" max="12" width="7.63"/>
    <col customWidth="1" min="13" max="13" width="18.63"/>
    <col customWidth="1" min="14" max="14" width="14.25"/>
    <col customWidth="1" min="15" max="16" width="18.88"/>
    <col customWidth="1" min="17" max="17" width="8.75"/>
    <col customWidth="1" min="18" max="18" width="96.88"/>
    <col customWidth="1" min="19" max="20" width="10.75"/>
    <col customWidth="1" min="21" max="21" width="11.13"/>
    <col customWidth="1" min="22" max="22" width="92.88"/>
  </cols>
  <sheetData>
    <row r="1">
      <c r="A1" s="34" t="s">
        <v>344</v>
      </c>
      <c r="B1" s="35" t="s">
        <v>345</v>
      </c>
      <c r="C1" s="35" t="s">
        <v>346</v>
      </c>
      <c r="D1" s="36" t="s">
        <v>55</v>
      </c>
      <c r="E1" s="35" t="s">
        <v>347</v>
      </c>
      <c r="F1" s="35" t="s">
        <v>348</v>
      </c>
      <c r="G1" s="35" t="s">
        <v>349</v>
      </c>
      <c r="H1" s="35" t="s">
        <v>350</v>
      </c>
      <c r="I1" s="37" t="s">
        <v>351</v>
      </c>
      <c r="J1" s="37" t="s">
        <v>352</v>
      </c>
      <c r="K1" s="38" t="s">
        <v>353</v>
      </c>
      <c r="L1" s="35" t="s">
        <v>354</v>
      </c>
      <c r="M1" s="35" t="s">
        <v>355</v>
      </c>
      <c r="N1" s="35" t="s">
        <v>356</v>
      </c>
      <c r="O1" s="34" t="s">
        <v>357</v>
      </c>
      <c r="P1" s="35" t="s">
        <v>358</v>
      </c>
      <c r="Q1" s="39" t="s">
        <v>326</v>
      </c>
      <c r="R1" s="35" t="s">
        <v>48</v>
      </c>
      <c r="S1" s="40" t="s">
        <v>359</v>
      </c>
      <c r="T1" s="35" t="s">
        <v>360</v>
      </c>
      <c r="U1" s="35" t="s">
        <v>75</v>
      </c>
      <c r="V1" s="35" t="s">
        <v>361</v>
      </c>
    </row>
    <row r="2">
      <c r="A2" s="41" t="s">
        <v>362</v>
      </c>
      <c r="B2" s="42" t="s">
        <v>363</v>
      </c>
      <c r="C2" s="42">
        <v>1000.0</v>
      </c>
      <c r="D2" s="43"/>
      <c r="E2" s="42">
        <v>2.0</v>
      </c>
      <c r="F2" s="42" t="s">
        <v>364</v>
      </c>
      <c r="G2" s="42" t="s">
        <v>157</v>
      </c>
      <c r="H2" s="42" t="s">
        <v>157</v>
      </c>
      <c r="I2" s="44" t="s">
        <v>365</v>
      </c>
      <c r="J2" s="44">
        <v>12.0</v>
      </c>
      <c r="K2" s="45">
        <v>5.0</v>
      </c>
      <c r="L2" s="42" t="s">
        <v>81</v>
      </c>
      <c r="M2" s="42" t="s">
        <v>366</v>
      </c>
      <c r="N2" s="42" t="s">
        <v>367</v>
      </c>
      <c r="O2" s="42"/>
      <c r="P2" s="42"/>
      <c r="Q2" s="42"/>
      <c r="R2" s="42" t="s">
        <v>368</v>
      </c>
      <c r="S2" s="46"/>
      <c r="T2" s="42"/>
      <c r="U2" s="42" t="s">
        <v>87</v>
      </c>
      <c r="V2" s="41" t="s">
        <v>369</v>
      </c>
    </row>
    <row r="3">
      <c r="A3" s="47" t="str">
        <f>HYPERLINK("https://www.adafruit.com/product/1689","Fadecandy")</f>
        <v>Fadecandy</v>
      </c>
      <c r="B3" s="48" t="s">
        <v>370</v>
      </c>
      <c r="C3" s="48">
        <v>512.0</v>
      </c>
      <c r="D3" s="49">
        <v>24.95</v>
      </c>
      <c r="E3" s="48">
        <v>8.0</v>
      </c>
      <c r="F3" s="48" t="s">
        <v>62</v>
      </c>
      <c r="G3" s="48"/>
      <c r="H3" s="48" t="s">
        <v>157</v>
      </c>
      <c r="I3" s="50" t="s">
        <v>365</v>
      </c>
      <c r="J3" s="50">
        <v>5.0</v>
      </c>
      <c r="K3" s="51"/>
      <c r="L3" s="48" t="s">
        <v>81</v>
      </c>
      <c r="M3" s="48" t="s">
        <v>371</v>
      </c>
      <c r="N3" s="48" t="s">
        <v>367</v>
      </c>
      <c r="Q3" s="48"/>
      <c r="R3" s="47" t="s">
        <v>372</v>
      </c>
      <c r="S3" s="52"/>
      <c r="T3" s="48">
        <v>2013.0</v>
      </c>
      <c r="U3" s="48" t="s">
        <v>373</v>
      </c>
      <c r="V3" s="47" t="s">
        <v>374</v>
      </c>
    </row>
    <row r="4">
      <c r="A4" s="53" t="s">
        <v>375</v>
      </c>
      <c r="B4" s="42" t="s">
        <v>376</v>
      </c>
      <c r="C4" s="42">
        <v>2720.0</v>
      </c>
      <c r="D4" s="43">
        <v>114.95</v>
      </c>
      <c r="E4" s="42">
        <v>8.0</v>
      </c>
      <c r="F4" s="42" t="s">
        <v>377</v>
      </c>
      <c r="G4" s="42" t="s">
        <v>157</v>
      </c>
      <c r="H4" s="42" t="s">
        <v>157</v>
      </c>
      <c r="I4" s="44" t="s">
        <v>102</v>
      </c>
      <c r="J4" s="44">
        <v>24.0</v>
      </c>
      <c r="K4" s="45">
        <v>30.0</v>
      </c>
      <c r="L4" s="42" t="s">
        <v>81</v>
      </c>
      <c r="M4" s="42" t="s">
        <v>366</v>
      </c>
      <c r="N4" s="42" t="s">
        <v>378</v>
      </c>
      <c r="O4" s="42"/>
      <c r="P4" s="42" t="s">
        <v>62</v>
      </c>
      <c r="Q4" s="42"/>
      <c r="R4" s="42" t="s">
        <v>379</v>
      </c>
      <c r="S4" s="46"/>
      <c r="T4" s="42"/>
      <c r="U4" s="42" t="s">
        <v>380</v>
      </c>
      <c r="V4" s="42" t="s">
        <v>381</v>
      </c>
    </row>
    <row r="5">
      <c r="A5" s="48" t="s">
        <v>382</v>
      </c>
      <c r="B5" s="48" t="s">
        <v>376</v>
      </c>
      <c r="C5" s="48">
        <v>5440.0</v>
      </c>
      <c r="D5" s="49">
        <v>189.95</v>
      </c>
      <c r="E5" s="48">
        <v>32.0</v>
      </c>
      <c r="F5" s="48" t="s">
        <v>383</v>
      </c>
      <c r="G5" s="48" t="s">
        <v>157</v>
      </c>
      <c r="H5" s="48" t="s">
        <v>157</v>
      </c>
      <c r="I5" s="50" t="s">
        <v>102</v>
      </c>
      <c r="J5" s="50">
        <v>24.0</v>
      </c>
      <c r="K5" s="51">
        <v>64.0</v>
      </c>
      <c r="L5" s="48" t="s">
        <v>81</v>
      </c>
      <c r="M5" s="48" t="s">
        <v>366</v>
      </c>
      <c r="N5" s="48" t="s">
        <v>378</v>
      </c>
      <c r="O5" s="48"/>
      <c r="P5" s="48" t="s">
        <v>384</v>
      </c>
      <c r="Q5" s="48"/>
      <c r="R5" s="48" t="s">
        <v>379</v>
      </c>
      <c r="S5" s="52"/>
      <c r="T5" s="48"/>
      <c r="U5" s="48" t="s">
        <v>380</v>
      </c>
      <c r="V5" s="48" t="s">
        <v>381</v>
      </c>
    </row>
    <row r="6">
      <c r="A6" s="42" t="s">
        <v>385</v>
      </c>
      <c r="B6" s="42" t="s">
        <v>376</v>
      </c>
      <c r="C6" s="42">
        <v>4080.0</v>
      </c>
      <c r="D6" s="43">
        <v>339.95</v>
      </c>
      <c r="E6" s="42">
        <v>8.0</v>
      </c>
      <c r="F6" s="42" t="s">
        <v>386</v>
      </c>
      <c r="G6" s="42" t="s">
        <v>157</v>
      </c>
      <c r="H6" s="42" t="s">
        <v>157</v>
      </c>
      <c r="I6" s="44" t="s">
        <v>102</v>
      </c>
      <c r="J6" s="44">
        <v>24.0</v>
      </c>
      <c r="K6" s="45">
        <v>30.0</v>
      </c>
      <c r="L6" s="42" t="s">
        <v>81</v>
      </c>
      <c r="M6" s="42" t="s">
        <v>366</v>
      </c>
      <c r="N6" s="42" t="s">
        <v>378</v>
      </c>
      <c r="O6" s="42"/>
      <c r="P6" s="42" t="s">
        <v>62</v>
      </c>
      <c r="Q6" s="42"/>
      <c r="R6" s="42" t="s">
        <v>387</v>
      </c>
      <c r="S6" s="46"/>
      <c r="T6" s="42"/>
      <c r="U6" s="42" t="s">
        <v>87</v>
      </c>
      <c r="V6" s="41" t="s">
        <v>388</v>
      </c>
    </row>
    <row r="7">
      <c r="A7" s="47" t="s">
        <v>389</v>
      </c>
      <c r="B7" s="48" t="s">
        <v>376</v>
      </c>
      <c r="C7" s="48">
        <v>4080.0</v>
      </c>
      <c r="D7" s="54">
        <v>399.0</v>
      </c>
      <c r="E7" s="48">
        <v>8.0</v>
      </c>
      <c r="F7" s="48" t="s">
        <v>390</v>
      </c>
      <c r="G7" s="48" t="s">
        <v>391</v>
      </c>
      <c r="H7" s="48" t="s">
        <v>81</v>
      </c>
      <c r="I7" s="50" t="s">
        <v>102</v>
      </c>
      <c r="J7" s="50">
        <v>24.0</v>
      </c>
      <c r="K7" s="51">
        <v>28.0</v>
      </c>
      <c r="L7" s="48" t="s">
        <v>81</v>
      </c>
      <c r="M7" s="48" t="s">
        <v>366</v>
      </c>
      <c r="N7" s="48" t="s">
        <v>378</v>
      </c>
      <c r="O7" s="48"/>
      <c r="P7" s="48" t="s">
        <v>392</v>
      </c>
      <c r="Q7" s="48"/>
      <c r="R7" s="48" t="s">
        <v>393</v>
      </c>
      <c r="S7" s="52"/>
      <c r="T7" s="48">
        <v>2021.0</v>
      </c>
      <c r="U7" s="48" t="s">
        <v>87</v>
      </c>
      <c r="V7" s="55" t="s">
        <v>394</v>
      </c>
    </row>
    <row r="8">
      <c r="A8" s="41" t="s">
        <v>395</v>
      </c>
      <c r="B8" s="42" t="s">
        <v>376</v>
      </c>
      <c r="C8" s="42">
        <v>680.0</v>
      </c>
      <c r="D8" s="43">
        <v>439.95</v>
      </c>
      <c r="E8" s="42">
        <v>8.0</v>
      </c>
      <c r="F8" s="42" t="s">
        <v>396</v>
      </c>
      <c r="G8" s="42" t="s">
        <v>157</v>
      </c>
      <c r="H8" s="42" t="s">
        <v>157</v>
      </c>
      <c r="I8" s="44" t="s">
        <v>102</v>
      </c>
      <c r="J8" s="44">
        <v>12.0</v>
      </c>
      <c r="K8" s="45">
        <v>30.0</v>
      </c>
      <c r="L8" s="42" t="s">
        <v>81</v>
      </c>
      <c r="M8" s="42" t="s">
        <v>397</v>
      </c>
      <c r="N8" s="42" t="s">
        <v>378</v>
      </c>
      <c r="O8" s="53" t="s">
        <v>398</v>
      </c>
      <c r="P8" s="42"/>
      <c r="Q8" s="42"/>
      <c r="R8" s="42" t="s">
        <v>399</v>
      </c>
      <c r="S8" s="46"/>
      <c r="T8" s="42"/>
      <c r="U8" s="42" t="s">
        <v>87</v>
      </c>
      <c r="V8" s="41" t="s">
        <v>400</v>
      </c>
    </row>
    <row r="9">
      <c r="A9" s="48" t="s">
        <v>401</v>
      </c>
      <c r="B9" s="48" t="s">
        <v>376</v>
      </c>
      <c r="C9" s="48">
        <v>16320.0</v>
      </c>
      <c r="D9" s="49">
        <v>449.95</v>
      </c>
      <c r="E9" s="48">
        <v>32.0</v>
      </c>
      <c r="F9" s="48" t="s">
        <v>396</v>
      </c>
      <c r="G9" s="48" t="s">
        <v>157</v>
      </c>
      <c r="H9" s="48" t="s">
        <v>157</v>
      </c>
      <c r="I9" s="50" t="s">
        <v>102</v>
      </c>
      <c r="J9" s="50">
        <v>24.0</v>
      </c>
      <c r="K9" s="51">
        <v>15.0</v>
      </c>
      <c r="L9" s="48" t="s">
        <v>81</v>
      </c>
      <c r="M9" s="48" t="s">
        <v>366</v>
      </c>
      <c r="N9" s="48" t="s">
        <v>378</v>
      </c>
      <c r="O9" s="48"/>
      <c r="P9" s="48" t="s">
        <v>384</v>
      </c>
      <c r="Q9" s="48"/>
      <c r="S9" s="52"/>
      <c r="T9" s="48"/>
      <c r="U9" s="48" t="s">
        <v>87</v>
      </c>
      <c r="V9" s="47" t="s">
        <v>402</v>
      </c>
    </row>
    <row r="10">
      <c r="A10" s="42" t="s">
        <v>403</v>
      </c>
      <c r="B10" s="42" t="s">
        <v>376</v>
      </c>
      <c r="C10" s="42">
        <v>16320.0</v>
      </c>
      <c r="D10" s="43">
        <v>449.95</v>
      </c>
      <c r="E10" s="42">
        <v>32.0</v>
      </c>
      <c r="F10" s="42" t="s">
        <v>396</v>
      </c>
      <c r="G10" s="42" t="s">
        <v>157</v>
      </c>
      <c r="H10" s="42" t="s">
        <v>157</v>
      </c>
      <c r="I10" s="44" t="s">
        <v>102</v>
      </c>
      <c r="J10" s="44">
        <v>24.0</v>
      </c>
      <c r="K10" s="45">
        <v>64.0</v>
      </c>
      <c r="L10" s="42" t="s">
        <v>81</v>
      </c>
      <c r="M10" s="42" t="s">
        <v>366</v>
      </c>
      <c r="N10" s="42" t="s">
        <v>378</v>
      </c>
      <c r="O10" s="42"/>
      <c r="P10" s="42" t="s">
        <v>384</v>
      </c>
      <c r="Q10" s="42"/>
      <c r="R10" s="42" t="s">
        <v>387</v>
      </c>
      <c r="S10" s="46"/>
      <c r="T10" s="42"/>
      <c r="U10" s="42" t="s">
        <v>87</v>
      </c>
      <c r="V10" s="56" t="s">
        <v>404</v>
      </c>
    </row>
    <row r="11">
      <c r="A11" s="48" t="s">
        <v>405</v>
      </c>
      <c r="B11" s="48" t="s">
        <v>376</v>
      </c>
      <c r="C11" s="48">
        <v>5440.0</v>
      </c>
      <c r="D11" s="49">
        <v>500.0</v>
      </c>
      <c r="E11" s="48">
        <v>32.0</v>
      </c>
      <c r="F11" s="48" t="s">
        <v>396</v>
      </c>
      <c r="G11" s="48" t="s">
        <v>157</v>
      </c>
      <c r="H11" s="48" t="s">
        <v>157</v>
      </c>
      <c r="I11" s="50" t="s">
        <v>102</v>
      </c>
      <c r="J11" s="50">
        <v>12.0</v>
      </c>
      <c r="K11" s="51"/>
      <c r="L11" s="48" t="s">
        <v>81</v>
      </c>
      <c r="M11" s="48" t="s">
        <v>397</v>
      </c>
      <c r="N11" s="48" t="s">
        <v>378</v>
      </c>
      <c r="O11" s="48"/>
      <c r="P11" s="48"/>
      <c r="Q11" s="48"/>
      <c r="R11" s="48" t="s">
        <v>399</v>
      </c>
      <c r="S11" s="52"/>
      <c r="T11" s="48"/>
      <c r="U11" s="48" t="s">
        <v>87</v>
      </c>
      <c r="V11" s="47" t="s">
        <v>406</v>
      </c>
    </row>
    <row r="12">
      <c r="A12" s="41" t="s">
        <v>407</v>
      </c>
      <c r="B12" s="42" t="s">
        <v>376</v>
      </c>
      <c r="C12" s="42">
        <v>16320.0</v>
      </c>
      <c r="D12" s="57">
        <v>549.0</v>
      </c>
      <c r="E12" s="42">
        <v>8.0</v>
      </c>
      <c r="F12" s="42" t="s">
        <v>396</v>
      </c>
      <c r="G12" s="42" t="s">
        <v>391</v>
      </c>
      <c r="H12" s="42" t="s">
        <v>81</v>
      </c>
      <c r="I12" s="44" t="s">
        <v>102</v>
      </c>
      <c r="J12" s="44">
        <v>24.0</v>
      </c>
      <c r="K12" s="45"/>
      <c r="L12" s="42" t="s">
        <v>81</v>
      </c>
      <c r="M12" s="42" t="s">
        <v>366</v>
      </c>
      <c r="N12" s="42" t="s">
        <v>378</v>
      </c>
      <c r="O12" s="42"/>
      <c r="P12" s="42" t="s">
        <v>392</v>
      </c>
      <c r="Q12" s="42"/>
      <c r="R12" s="42" t="s">
        <v>408</v>
      </c>
      <c r="S12" s="46"/>
      <c r="T12" s="42">
        <v>2022.0</v>
      </c>
      <c r="U12" s="42" t="s">
        <v>87</v>
      </c>
      <c r="V12" s="41" t="s">
        <v>409</v>
      </c>
    </row>
    <row r="13">
      <c r="A13" s="47" t="s">
        <v>410</v>
      </c>
      <c r="B13" s="48" t="s">
        <v>376</v>
      </c>
      <c r="C13" s="48">
        <v>16320.0</v>
      </c>
      <c r="D13" s="49">
        <v>950.0</v>
      </c>
      <c r="E13" s="48">
        <v>32.0</v>
      </c>
      <c r="F13" s="58" t="s">
        <v>411</v>
      </c>
      <c r="G13" s="48" t="s">
        <v>391</v>
      </c>
      <c r="H13" s="48" t="s">
        <v>81</v>
      </c>
      <c r="I13" s="50" t="s">
        <v>102</v>
      </c>
      <c r="J13" s="50">
        <v>24.0</v>
      </c>
      <c r="K13" s="51"/>
      <c r="L13" s="48" t="s">
        <v>81</v>
      </c>
      <c r="M13" s="48" t="s">
        <v>366</v>
      </c>
      <c r="N13" s="48" t="s">
        <v>378</v>
      </c>
      <c r="O13" s="48"/>
      <c r="P13" s="48" t="s">
        <v>392</v>
      </c>
      <c r="Q13" s="48"/>
      <c r="R13" s="48" t="s">
        <v>408</v>
      </c>
      <c r="S13" s="52"/>
      <c r="T13" s="48">
        <v>2022.0</v>
      </c>
      <c r="U13" s="48" t="s">
        <v>87</v>
      </c>
      <c r="V13" s="47" t="s">
        <v>412</v>
      </c>
    </row>
    <row r="14">
      <c r="A14" s="56" t="s">
        <v>413</v>
      </c>
      <c r="B14" s="42" t="s">
        <v>376</v>
      </c>
      <c r="C14" s="42">
        <v>16320.0</v>
      </c>
      <c r="D14" s="57">
        <v>1200.0</v>
      </c>
      <c r="E14" s="42">
        <v>32.0</v>
      </c>
      <c r="F14" s="42" t="s">
        <v>414</v>
      </c>
      <c r="G14" s="42" t="s">
        <v>391</v>
      </c>
      <c r="H14" s="42" t="s">
        <v>81</v>
      </c>
      <c r="I14" s="44" t="s">
        <v>102</v>
      </c>
      <c r="J14" s="44">
        <v>24.0</v>
      </c>
      <c r="K14" s="45"/>
      <c r="L14" s="42" t="s">
        <v>81</v>
      </c>
      <c r="M14" s="42" t="s">
        <v>366</v>
      </c>
      <c r="N14" s="42" t="s">
        <v>378</v>
      </c>
      <c r="O14" s="42"/>
      <c r="P14" s="42" t="s">
        <v>392</v>
      </c>
      <c r="Q14" s="42"/>
      <c r="R14" s="42" t="s">
        <v>415</v>
      </c>
      <c r="S14" s="46"/>
      <c r="T14" s="42">
        <v>2022.0</v>
      </c>
      <c r="U14" s="42" t="s">
        <v>87</v>
      </c>
      <c r="V14" s="41" t="s">
        <v>416</v>
      </c>
    </row>
    <row r="15">
      <c r="A15" s="48" t="s">
        <v>417</v>
      </c>
      <c r="B15" s="48" t="s">
        <v>376</v>
      </c>
      <c r="D15" s="49"/>
      <c r="E15" s="48">
        <v>32.0</v>
      </c>
      <c r="G15" s="48" t="s">
        <v>157</v>
      </c>
      <c r="H15" s="48" t="s">
        <v>157</v>
      </c>
      <c r="I15" s="50" t="s">
        <v>102</v>
      </c>
      <c r="J15" s="50">
        <v>24.0</v>
      </c>
      <c r="K15" s="51">
        <v>30.0</v>
      </c>
      <c r="L15" s="48" t="s">
        <v>81</v>
      </c>
      <c r="M15" s="48" t="s">
        <v>366</v>
      </c>
      <c r="N15" s="48" t="s">
        <v>378</v>
      </c>
      <c r="O15" s="48"/>
      <c r="P15" s="48"/>
      <c r="Q15" s="48"/>
      <c r="R15" s="48" t="s">
        <v>418</v>
      </c>
      <c r="S15" s="52"/>
      <c r="T15" s="48"/>
      <c r="U15" s="48" t="s">
        <v>380</v>
      </c>
      <c r="V15" s="47" t="s">
        <v>419</v>
      </c>
    </row>
    <row r="16">
      <c r="A16" s="41" t="s">
        <v>420</v>
      </c>
      <c r="B16" s="42" t="s">
        <v>421</v>
      </c>
      <c r="C16" s="42">
        <v>5440.0</v>
      </c>
      <c r="D16" s="43">
        <v>50.0</v>
      </c>
      <c r="E16" s="42">
        <v>8.0</v>
      </c>
      <c r="F16" s="42" t="s">
        <v>377</v>
      </c>
      <c r="H16" s="42" t="s">
        <v>81</v>
      </c>
      <c r="I16" s="44" t="s">
        <v>102</v>
      </c>
      <c r="J16" s="44"/>
      <c r="K16" s="45"/>
      <c r="L16" s="42" t="s">
        <v>81</v>
      </c>
      <c r="M16" s="42"/>
      <c r="N16" s="42" t="s">
        <v>422</v>
      </c>
      <c r="Q16" s="42"/>
      <c r="R16" s="42" t="s">
        <v>423</v>
      </c>
      <c r="S16" s="46"/>
      <c r="T16" s="42"/>
      <c r="U16" s="42" t="s">
        <v>87</v>
      </c>
      <c r="V16" s="41" t="s">
        <v>420</v>
      </c>
    </row>
    <row r="17">
      <c r="A17" s="47" t="str">
        <f>HYPERLINK("https://shop.blinkinlabs.com/products/blinkytape-control-board","Blink tape Controller")</f>
        <v>Blink tape Controller</v>
      </c>
      <c r="B17" s="48" t="s">
        <v>424</v>
      </c>
      <c r="C17" s="48">
        <v>512.0</v>
      </c>
      <c r="D17" s="49">
        <v>15.99</v>
      </c>
      <c r="E17" s="48">
        <v>1.0</v>
      </c>
      <c r="F17" s="48" t="s">
        <v>425</v>
      </c>
      <c r="G17" s="48" t="s">
        <v>426</v>
      </c>
      <c r="H17" s="48" t="s">
        <v>81</v>
      </c>
      <c r="I17" s="50" t="s">
        <v>365</v>
      </c>
      <c r="J17" s="50">
        <v>5.0</v>
      </c>
      <c r="K17" s="51">
        <v>1.0</v>
      </c>
      <c r="L17" s="48" t="s">
        <v>157</v>
      </c>
      <c r="M17" s="48" t="s">
        <v>427</v>
      </c>
      <c r="N17" s="48" t="s">
        <v>367</v>
      </c>
      <c r="O17" s="48"/>
      <c r="P17" s="48" t="s">
        <v>65</v>
      </c>
      <c r="Q17" s="48"/>
      <c r="S17" s="52"/>
      <c r="T17" s="48"/>
      <c r="U17" s="48"/>
      <c r="V17" s="47" t="s">
        <v>428</v>
      </c>
    </row>
    <row r="18">
      <c r="A18" s="41" t="s">
        <v>429</v>
      </c>
      <c r="B18" s="42" t="s">
        <v>430</v>
      </c>
      <c r="C18" s="42">
        <v>4800.0</v>
      </c>
      <c r="D18" s="43">
        <v>55.0</v>
      </c>
      <c r="E18" s="42">
        <v>8.0</v>
      </c>
      <c r="F18" s="42" t="s">
        <v>377</v>
      </c>
      <c r="G18" s="42"/>
      <c r="H18" s="42" t="s">
        <v>431</v>
      </c>
      <c r="I18" s="44" t="s">
        <v>365</v>
      </c>
      <c r="J18" s="44">
        <v>24.0</v>
      </c>
      <c r="K18" s="45"/>
      <c r="M18" s="42" t="s">
        <v>366</v>
      </c>
      <c r="N18" s="42" t="s">
        <v>367</v>
      </c>
      <c r="O18" s="42"/>
      <c r="P18" s="42" t="s">
        <v>432</v>
      </c>
      <c r="Q18" s="42" t="s">
        <v>433</v>
      </c>
      <c r="R18" s="42"/>
      <c r="S18" s="46"/>
      <c r="T18" s="59"/>
      <c r="U18" s="42" t="s">
        <v>87</v>
      </c>
      <c r="V18" s="41" t="s">
        <v>434</v>
      </c>
    </row>
    <row r="19" ht="17.25" customHeight="1">
      <c r="A19" s="55" t="s">
        <v>435</v>
      </c>
      <c r="B19" s="58" t="s">
        <v>436</v>
      </c>
      <c r="C19" s="58">
        <v>6000.0</v>
      </c>
      <c r="D19" s="54">
        <v>75.0</v>
      </c>
      <c r="E19" s="58">
        <v>8.0</v>
      </c>
      <c r="F19" s="48" t="s">
        <v>377</v>
      </c>
      <c r="G19" s="58" t="s">
        <v>157</v>
      </c>
      <c r="H19" s="58"/>
      <c r="I19" s="60" t="s">
        <v>365</v>
      </c>
      <c r="J19" s="60">
        <v>24.0</v>
      </c>
      <c r="K19" s="61">
        <v>15.0</v>
      </c>
      <c r="L19" s="58" t="s">
        <v>81</v>
      </c>
      <c r="M19" s="58" t="s">
        <v>366</v>
      </c>
      <c r="N19" s="58" t="s">
        <v>437</v>
      </c>
      <c r="O19" s="58"/>
      <c r="P19" s="58"/>
      <c r="Q19" s="58"/>
      <c r="R19" s="62" t="s">
        <v>438</v>
      </c>
      <c r="S19" s="52"/>
      <c r="T19" s="58">
        <v>2024.0</v>
      </c>
      <c r="U19" s="58" t="s">
        <v>87</v>
      </c>
      <c r="V19" s="55" t="s">
        <v>439</v>
      </c>
    </row>
    <row r="20">
      <c r="A20" s="41" t="str">
        <f>HYPERLINK("https://www.chauvetprofessional.com/products/epix-flex-drive/","Epix Flex Drive")</f>
        <v>Epix Flex Drive</v>
      </c>
      <c r="B20" s="42" t="s">
        <v>440</v>
      </c>
      <c r="C20" s="42">
        <v>1920.0</v>
      </c>
      <c r="D20" s="43">
        <v>600.0</v>
      </c>
      <c r="E20" s="42">
        <v>2.0</v>
      </c>
      <c r="F20" s="42" t="s">
        <v>441</v>
      </c>
      <c r="I20" s="44" t="s">
        <v>365</v>
      </c>
      <c r="J20" s="44"/>
      <c r="K20" s="45"/>
      <c r="L20" s="42" t="s">
        <v>81</v>
      </c>
      <c r="M20" s="42" t="s">
        <v>442</v>
      </c>
      <c r="O20" s="42"/>
      <c r="P20" s="42" t="s">
        <v>157</v>
      </c>
      <c r="Q20" s="42"/>
      <c r="S20" s="46"/>
      <c r="T20" s="42"/>
      <c r="U20" s="42"/>
      <c r="V20" s="41" t="s">
        <v>443</v>
      </c>
    </row>
    <row r="21">
      <c r="A21" s="47" t="s">
        <v>444</v>
      </c>
      <c r="B21" s="48" t="s">
        <v>445</v>
      </c>
      <c r="C21" s="48">
        <v>4080.0</v>
      </c>
      <c r="D21" s="49">
        <v>99.0</v>
      </c>
      <c r="E21" s="48">
        <v>4.0</v>
      </c>
      <c r="F21" s="58" t="s">
        <v>377</v>
      </c>
      <c r="G21" s="48" t="s">
        <v>157</v>
      </c>
      <c r="H21" s="48" t="s">
        <v>157</v>
      </c>
      <c r="I21" s="50" t="s">
        <v>102</v>
      </c>
      <c r="J21" s="50">
        <v>24.0</v>
      </c>
      <c r="K21" s="51"/>
      <c r="L21" s="48" t="s">
        <v>81</v>
      </c>
      <c r="M21" s="48" t="s">
        <v>446</v>
      </c>
      <c r="N21" s="48" t="s">
        <v>447</v>
      </c>
      <c r="O21" s="48"/>
      <c r="P21" s="48"/>
      <c r="Q21" s="48"/>
      <c r="R21" s="48" t="s">
        <v>448</v>
      </c>
      <c r="S21" s="52"/>
      <c r="T21" s="48">
        <v>2022.0</v>
      </c>
      <c r="U21" s="48" t="s">
        <v>87</v>
      </c>
      <c r="V21" s="47" t="s">
        <v>449</v>
      </c>
    </row>
    <row r="22">
      <c r="A22" s="56" t="s">
        <v>450</v>
      </c>
      <c r="B22" s="42" t="s">
        <v>445</v>
      </c>
      <c r="C22" s="42">
        <v>8160.0</v>
      </c>
      <c r="D22" s="43">
        <v>169.0</v>
      </c>
      <c r="E22" s="42">
        <v>8.0</v>
      </c>
      <c r="F22" s="42" t="s">
        <v>451</v>
      </c>
      <c r="G22" s="42" t="s">
        <v>157</v>
      </c>
      <c r="H22" s="42" t="s">
        <v>157</v>
      </c>
      <c r="I22" s="44" t="s">
        <v>102</v>
      </c>
      <c r="J22" s="44">
        <v>24.0</v>
      </c>
      <c r="K22" s="45"/>
      <c r="L22" s="42" t="s">
        <v>81</v>
      </c>
      <c r="M22" s="42" t="s">
        <v>446</v>
      </c>
      <c r="N22" s="42" t="s">
        <v>447</v>
      </c>
      <c r="O22" s="42"/>
      <c r="P22" s="42"/>
      <c r="Q22" s="42"/>
      <c r="R22" s="42" t="s">
        <v>448</v>
      </c>
      <c r="S22" s="46"/>
      <c r="T22" s="42">
        <v>2022.0</v>
      </c>
      <c r="U22" s="42" t="s">
        <v>87</v>
      </c>
      <c r="V22" s="41" t="s">
        <v>452</v>
      </c>
    </row>
    <row r="23">
      <c r="A23" s="47" t="str">
        <f>HYPERLINK("http://www.citytheatrical.com/Products/qolorpix-tape-controller-eight-output#","Qolorpix")</f>
        <v>Qolorpix</v>
      </c>
      <c r="B23" s="48" t="s">
        <v>453</v>
      </c>
      <c r="C23" s="48">
        <v>1920.0</v>
      </c>
      <c r="D23" s="49">
        <v>1500.0</v>
      </c>
      <c r="E23" s="48">
        <v>8.0</v>
      </c>
      <c r="F23" s="48" t="s">
        <v>414</v>
      </c>
      <c r="H23" s="48" t="s">
        <v>81</v>
      </c>
      <c r="I23" s="50"/>
      <c r="J23" s="50">
        <v>5.0</v>
      </c>
      <c r="K23" s="51">
        <v>120.0</v>
      </c>
      <c r="L23" s="48" t="s">
        <v>81</v>
      </c>
      <c r="M23" s="48" t="s">
        <v>454</v>
      </c>
      <c r="N23" s="48" t="s">
        <v>367</v>
      </c>
      <c r="Q23" s="48"/>
      <c r="R23" s="48" t="s">
        <v>455</v>
      </c>
      <c r="S23" s="52"/>
      <c r="T23" s="48"/>
      <c r="U23" s="48"/>
      <c r="V23" s="47" t="s">
        <v>456</v>
      </c>
    </row>
    <row r="24">
      <c r="A24" s="41" t="s">
        <v>457</v>
      </c>
      <c r="B24" s="42" t="s">
        <v>458</v>
      </c>
      <c r="C24" s="42">
        <v>2720.0</v>
      </c>
      <c r="D24" s="43">
        <v>363.0</v>
      </c>
      <c r="E24" s="42">
        <v>16.0</v>
      </c>
      <c r="F24" s="42" t="s">
        <v>459</v>
      </c>
      <c r="G24" s="42" t="s">
        <v>157</v>
      </c>
      <c r="H24" s="42" t="s">
        <v>157</v>
      </c>
      <c r="I24" s="44" t="s">
        <v>102</v>
      </c>
      <c r="J24" s="44"/>
      <c r="K24" s="45"/>
      <c r="L24" s="42" t="s">
        <v>81</v>
      </c>
      <c r="M24" s="42" t="s">
        <v>460</v>
      </c>
      <c r="Q24" s="42"/>
      <c r="S24" s="46"/>
      <c r="T24" s="42"/>
      <c r="U24" s="42" t="s">
        <v>380</v>
      </c>
      <c r="V24" s="41" t="s">
        <v>461</v>
      </c>
    </row>
    <row r="25">
      <c r="A25" s="55" t="s">
        <v>462</v>
      </c>
      <c r="B25" s="48" t="s">
        <v>463</v>
      </c>
      <c r="C25" s="48">
        <v>5440.0</v>
      </c>
      <c r="D25" s="49">
        <v>630.0</v>
      </c>
      <c r="E25" s="48">
        <v>32.0</v>
      </c>
      <c r="F25" s="48" t="s">
        <v>464</v>
      </c>
      <c r="G25" s="48" t="s">
        <v>93</v>
      </c>
      <c r="H25" s="48" t="s">
        <v>93</v>
      </c>
      <c r="I25" s="50" t="s">
        <v>102</v>
      </c>
      <c r="J25" s="50"/>
      <c r="K25" s="51"/>
      <c r="M25" s="48" t="s">
        <v>465</v>
      </c>
      <c r="N25" s="48" t="s">
        <v>447</v>
      </c>
      <c r="O25" s="48"/>
      <c r="P25" s="48" t="s">
        <v>93</v>
      </c>
      <c r="Q25" s="48"/>
      <c r="R25" s="48"/>
      <c r="S25" s="52"/>
      <c r="T25" s="48">
        <v>2023.0</v>
      </c>
      <c r="U25" s="48" t="s">
        <v>87</v>
      </c>
      <c r="V25" s="55" t="s">
        <v>466</v>
      </c>
    </row>
    <row r="26">
      <c r="A26" s="41" t="s">
        <v>467</v>
      </c>
      <c r="B26" s="42" t="s">
        <v>463</v>
      </c>
      <c r="C26" s="42">
        <v>16320.0</v>
      </c>
      <c r="D26" s="43">
        <v>1060.0</v>
      </c>
      <c r="E26" s="42">
        <v>32.0</v>
      </c>
      <c r="F26" s="42" t="s">
        <v>414</v>
      </c>
      <c r="G26" s="42" t="s">
        <v>93</v>
      </c>
      <c r="H26" s="42" t="s">
        <v>93</v>
      </c>
      <c r="I26" s="44" t="s">
        <v>102</v>
      </c>
      <c r="J26" s="44"/>
      <c r="K26" s="45"/>
      <c r="M26" s="42" t="s">
        <v>465</v>
      </c>
      <c r="N26" s="42" t="s">
        <v>447</v>
      </c>
      <c r="O26" s="42"/>
      <c r="P26" s="42" t="s">
        <v>93</v>
      </c>
      <c r="Q26" s="42"/>
      <c r="R26" s="42"/>
      <c r="S26" s="46"/>
      <c r="T26" s="42">
        <v>2023.0</v>
      </c>
      <c r="U26" s="42" t="s">
        <v>87</v>
      </c>
      <c r="V26" s="41" t="s">
        <v>468</v>
      </c>
    </row>
    <row r="27">
      <c r="A27" s="47" t="s">
        <v>469</v>
      </c>
      <c r="B27" s="48" t="s">
        <v>463</v>
      </c>
      <c r="C27" s="48">
        <v>32640.0</v>
      </c>
      <c r="D27" s="49">
        <v>1490.0</v>
      </c>
      <c r="E27" s="48">
        <v>32.0</v>
      </c>
      <c r="F27" s="48" t="s">
        <v>414</v>
      </c>
      <c r="G27" s="48" t="s">
        <v>93</v>
      </c>
      <c r="H27" s="48" t="s">
        <v>93</v>
      </c>
      <c r="I27" s="50" t="s">
        <v>102</v>
      </c>
      <c r="J27" s="50"/>
      <c r="K27" s="51"/>
      <c r="M27" s="48" t="s">
        <v>465</v>
      </c>
      <c r="N27" s="48" t="s">
        <v>447</v>
      </c>
      <c r="O27" s="48"/>
      <c r="P27" s="48" t="s">
        <v>93</v>
      </c>
      <c r="Q27" s="48"/>
      <c r="R27" s="48"/>
      <c r="S27" s="52"/>
      <c r="T27" s="48">
        <v>2023.0</v>
      </c>
      <c r="U27" s="48" t="s">
        <v>87</v>
      </c>
      <c r="V27" s="47" t="s">
        <v>470</v>
      </c>
    </row>
    <row r="28">
      <c r="A28" s="41" t="str">
        <f>HYPERLINK("https://www.led-genial.de/LED-Controller-L-Rev2-fuer-WS2812-Effekte-abspielen-und-TPM2-ueber-USB","LED Player M")</f>
        <v>LED Player M</v>
      </c>
      <c r="B28" s="42" t="s">
        <v>471</v>
      </c>
      <c r="C28" s="42">
        <v>512.0</v>
      </c>
      <c r="D28" s="43">
        <v>40.0</v>
      </c>
      <c r="E28" s="42">
        <v>1.0</v>
      </c>
      <c r="F28" s="42" t="s">
        <v>377</v>
      </c>
      <c r="G28" s="42" t="s">
        <v>157</v>
      </c>
      <c r="H28" s="42" t="s">
        <v>81</v>
      </c>
      <c r="I28" s="44" t="s">
        <v>102</v>
      </c>
      <c r="J28" s="44">
        <v>5.0</v>
      </c>
      <c r="K28" s="45"/>
      <c r="M28" s="42" t="s">
        <v>366</v>
      </c>
      <c r="Q28" s="42"/>
      <c r="S28" s="46"/>
      <c r="T28" s="42"/>
      <c r="U28" s="42"/>
      <c r="V28" s="41" t="s">
        <v>472</v>
      </c>
    </row>
    <row r="29">
      <c r="A29" s="47" t="str">
        <f>HYPERLINK("https://www.led-genial.de/LED-Player-L-fuer-Strips-und-Panels-bis-4096-LEDs","LED Player L")</f>
        <v>LED Player L</v>
      </c>
      <c r="B29" s="48" t="s">
        <v>471</v>
      </c>
      <c r="C29" s="48">
        <v>4096.0</v>
      </c>
      <c r="D29" s="49">
        <v>99.0</v>
      </c>
      <c r="E29" s="48">
        <v>8.0</v>
      </c>
      <c r="F29" s="48" t="s">
        <v>377</v>
      </c>
      <c r="G29" s="48" t="s">
        <v>81</v>
      </c>
      <c r="H29" s="48" t="s">
        <v>81</v>
      </c>
      <c r="I29" s="50" t="s">
        <v>102</v>
      </c>
      <c r="J29" s="50">
        <v>5.0</v>
      </c>
      <c r="K29" s="51"/>
      <c r="M29" s="48" t="s">
        <v>366</v>
      </c>
      <c r="Q29" s="48"/>
      <c r="S29" s="52"/>
      <c r="T29" s="48"/>
      <c r="U29" s="48"/>
      <c r="V29" s="47" t="s">
        <v>473</v>
      </c>
    </row>
    <row r="30">
      <c r="A30" s="41" t="str">
        <f>HYPERLINK("https://www.led-genial.de/LED-Player-DMX-TPM2-Dateien-von-DMX-gesteuert-abspielen","LED Player DMX")</f>
        <v>LED Player DMX</v>
      </c>
      <c r="B30" s="42" t="s">
        <v>471</v>
      </c>
      <c r="C30" s="42">
        <v>1024.0</v>
      </c>
      <c r="D30" s="43">
        <v>99.0</v>
      </c>
      <c r="E30" s="42">
        <v>2.0</v>
      </c>
      <c r="F30" s="42" t="s">
        <v>377</v>
      </c>
      <c r="G30" s="42" t="s">
        <v>81</v>
      </c>
      <c r="I30" s="44" t="s">
        <v>365</v>
      </c>
      <c r="J30" s="44">
        <v>5.0</v>
      </c>
      <c r="K30" s="45"/>
      <c r="M30" s="42" t="s">
        <v>366</v>
      </c>
      <c r="Q30" s="42"/>
      <c r="S30" s="46"/>
      <c r="T30" s="42"/>
      <c r="U30" s="42"/>
      <c r="V30" s="41" t="s">
        <v>474</v>
      </c>
    </row>
    <row r="31">
      <c r="A31" s="47" t="str">
        <f>HYPERLINK("https://www.led-genial.de/LED-Player-S-spielt-LED-Effekte-von-SD-Karte-ab","LEDEddy")</f>
        <v>LEDEddy</v>
      </c>
      <c r="B31" s="48" t="s">
        <v>471</v>
      </c>
      <c r="C31" s="63"/>
      <c r="D31" s="49"/>
      <c r="E31" s="48">
        <v>1.0</v>
      </c>
      <c r="F31" s="48" t="s">
        <v>475</v>
      </c>
      <c r="G31" s="48" t="s">
        <v>391</v>
      </c>
      <c r="H31" s="48" t="s">
        <v>81</v>
      </c>
      <c r="I31" s="50"/>
      <c r="J31" s="50">
        <v>5.0</v>
      </c>
      <c r="K31" s="63"/>
      <c r="L31" s="48" t="s">
        <v>157</v>
      </c>
      <c r="N31" s="48" t="s">
        <v>367</v>
      </c>
      <c r="Q31" s="48"/>
      <c r="S31" s="52"/>
      <c r="T31" s="48"/>
      <c r="U31" s="48"/>
      <c r="V31" s="47" t="str">
        <f>HYPERLINK("https://www.led-genial.de/LED-Player-S-spielt-LED-Effekte-von-SD-Karte-ab","https://www.led-genial.de/LED-Player-S-spielt-LED-Effekte-von-SD-Karte-ab")</f>
        <v>https://www.led-genial.de/LED-Player-S-spielt-LED-Effekte-von-SD-Karte-ab</v>
      </c>
    </row>
    <row r="32">
      <c r="A32" s="41" t="str">
        <f>HYPERLINK("https://digidot.eu/c4/digidot-c4-live","DiGidot C4 Live 12")</f>
        <v>DiGidot C4 Live 12</v>
      </c>
      <c r="B32" s="42" t="s">
        <v>476</v>
      </c>
      <c r="C32" s="42">
        <v>8192.0</v>
      </c>
      <c r="D32" s="43">
        <v>330.0</v>
      </c>
      <c r="E32" s="42">
        <v>4.0</v>
      </c>
      <c r="F32" s="42" t="s">
        <v>477</v>
      </c>
      <c r="G32" s="42" t="s">
        <v>157</v>
      </c>
      <c r="H32" s="42" t="s">
        <v>157</v>
      </c>
      <c r="I32" s="44" t="s">
        <v>102</v>
      </c>
      <c r="J32" s="44">
        <v>24.0</v>
      </c>
      <c r="K32" s="45">
        <v>0.0</v>
      </c>
      <c r="L32" s="42" t="s">
        <v>81</v>
      </c>
      <c r="M32" s="42" t="s">
        <v>366</v>
      </c>
      <c r="N32" s="42" t="s">
        <v>447</v>
      </c>
      <c r="Q32" s="42"/>
      <c r="R32" s="42" t="s">
        <v>478</v>
      </c>
      <c r="S32" s="46"/>
      <c r="T32" s="42"/>
      <c r="U32" s="42" t="s">
        <v>87</v>
      </c>
      <c r="V32" s="42" t="s">
        <v>479</v>
      </c>
    </row>
    <row r="33">
      <c r="A33" s="47" t="str">
        <f>HYPERLINK("https://digidot.eu/c4/digidot-c4-extended","DiGidot C4 Extended 8")</f>
        <v>DiGidot C4 Extended 8</v>
      </c>
      <c r="B33" s="48" t="s">
        <v>476</v>
      </c>
      <c r="C33" s="48">
        <v>4096.0</v>
      </c>
      <c r="D33" s="49">
        <v>385.0</v>
      </c>
      <c r="E33" s="48">
        <v>4.0</v>
      </c>
      <c r="F33" s="48" t="s">
        <v>390</v>
      </c>
      <c r="G33" s="48" t="s">
        <v>391</v>
      </c>
      <c r="H33" s="48" t="s">
        <v>81</v>
      </c>
      <c r="I33" s="50" t="s">
        <v>102</v>
      </c>
      <c r="J33" s="50">
        <v>24.0</v>
      </c>
      <c r="K33" s="51">
        <v>0.0</v>
      </c>
      <c r="L33" s="48" t="s">
        <v>81</v>
      </c>
      <c r="M33" s="48" t="s">
        <v>366</v>
      </c>
      <c r="N33" s="48" t="s">
        <v>447</v>
      </c>
      <c r="O33" s="48"/>
      <c r="P33" s="48"/>
      <c r="Q33" s="48"/>
      <c r="R33" s="48" t="s">
        <v>480</v>
      </c>
      <c r="S33" s="52"/>
      <c r="T33" s="48"/>
      <c r="U33" s="48" t="s">
        <v>87</v>
      </c>
      <c r="V33" s="48" t="s">
        <v>481</v>
      </c>
    </row>
    <row r="34">
      <c r="A34" s="41" t="s">
        <v>482</v>
      </c>
      <c r="B34" s="42" t="s">
        <v>483</v>
      </c>
      <c r="C34" s="42">
        <v>6800.0</v>
      </c>
      <c r="D34" s="43">
        <v>799.0</v>
      </c>
      <c r="E34" s="42"/>
      <c r="F34" s="53" t="s">
        <v>414</v>
      </c>
      <c r="G34" s="42" t="s">
        <v>391</v>
      </c>
      <c r="H34" s="42" t="s">
        <v>431</v>
      </c>
      <c r="I34" s="44" t="s">
        <v>102</v>
      </c>
      <c r="J34" s="44">
        <v>28.0</v>
      </c>
      <c r="K34" s="45"/>
      <c r="M34" s="42"/>
      <c r="N34" s="42"/>
      <c r="O34" s="42"/>
      <c r="P34" s="42"/>
      <c r="Q34" s="42"/>
      <c r="R34" s="42" t="s">
        <v>484</v>
      </c>
      <c r="S34" s="46"/>
      <c r="T34" s="59"/>
      <c r="U34" s="42" t="s">
        <v>87</v>
      </c>
      <c r="V34" s="41" t="s">
        <v>485</v>
      </c>
    </row>
    <row r="35">
      <c r="A35" s="47" t="str">
        <f>HYPERLINK("https://shop.dmx4all.de/en/dmx4all-products/magiarled-solutions/magiarled-controller/artnet-twinpixx-16.html","TwinPixx16")</f>
        <v>TwinPixx16</v>
      </c>
      <c r="B35" s="48" t="s">
        <v>486</v>
      </c>
      <c r="C35" s="48">
        <v>2720.0</v>
      </c>
      <c r="D35" s="49">
        <v>399.0</v>
      </c>
      <c r="E35" s="48">
        <v>2.0</v>
      </c>
      <c r="F35" s="48" t="s">
        <v>487</v>
      </c>
      <c r="G35" s="48" t="s">
        <v>157</v>
      </c>
      <c r="H35" s="48" t="s">
        <v>157</v>
      </c>
      <c r="I35" s="50" t="s">
        <v>102</v>
      </c>
      <c r="J35" s="50">
        <v>5.0</v>
      </c>
      <c r="K35" s="51"/>
      <c r="L35" s="48" t="s">
        <v>81</v>
      </c>
      <c r="M35" s="48" t="s">
        <v>488</v>
      </c>
      <c r="N35" s="48" t="s">
        <v>489</v>
      </c>
      <c r="Q35" s="48"/>
      <c r="S35" s="52"/>
      <c r="T35" s="48"/>
      <c r="U35" s="48"/>
      <c r="V35" s="55" t="s">
        <v>490</v>
      </c>
    </row>
    <row r="36">
      <c r="A36" s="41" t="str">
        <f>HYPERLINK("https://dmxking.com/led-pixel-control/ledmx4-pro","LeDMX4 Pro")</f>
        <v>LeDMX4 Pro</v>
      </c>
      <c r="B36" s="42" t="s">
        <v>491</v>
      </c>
      <c r="C36" s="42">
        <v>2720.0</v>
      </c>
      <c r="D36" s="43">
        <v>134.0</v>
      </c>
      <c r="E36" s="42">
        <v>4.0</v>
      </c>
      <c r="F36" s="42" t="s">
        <v>377</v>
      </c>
      <c r="G36" s="42" t="s">
        <v>391</v>
      </c>
      <c r="H36" s="42" t="s">
        <v>81</v>
      </c>
      <c r="I36" s="44" t="s">
        <v>102</v>
      </c>
      <c r="J36" s="44">
        <v>24.0</v>
      </c>
      <c r="K36" s="45"/>
      <c r="L36" s="42" t="s">
        <v>81</v>
      </c>
      <c r="M36" s="42" t="s">
        <v>366</v>
      </c>
      <c r="N36" s="42" t="s">
        <v>492</v>
      </c>
      <c r="O36" s="42"/>
      <c r="P36" s="42" t="s">
        <v>62</v>
      </c>
      <c r="Q36" s="42"/>
      <c r="R36" s="42" t="s">
        <v>493</v>
      </c>
      <c r="S36" s="46"/>
      <c r="T36" s="42"/>
      <c r="U36" s="42" t="s">
        <v>380</v>
      </c>
      <c r="V36" s="42" t="s">
        <v>494</v>
      </c>
    </row>
    <row r="37">
      <c r="A37" s="47" t="s">
        <v>495</v>
      </c>
      <c r="B37" s="48" t="s">
        <v>496</v>
      </c>
      <c r="C37" s="48">
        <v>2040.0</v>
      </c>
      <c r="D37" s="49">
        <v>199.0</v>
      </c>
      <c r="E37" s="48">
        <v>2.0</v>
      </c>
      <c r="F37" s="48" t="s">
        <v>497</v>
      </c>
      <c r="G37" s="48" t="s">
        <v>391</v>
      </c>
      <c r="H37" s="48" t="s">
        <v>81</v>
      </c>
      <c r="I37" s="50" t="s">
        <v>102</v>
      </c>
      <c r="J37" s="50">
        <v>24.0</v>
      </c>
      <c r="K37" s="51">
        <v>16.0</v>
      </c>
      <c r="L37" s="63" t="s">
        <v>81</v>
      </c>
      <c r="M37" s="48" t="s">
        <v>366</v>
      </c>
      <c r="N37" s="48" t="s">
        <v>492</v>
      </c>
      <c r="O37" s="48"/>
      <c r="P37" s="48" t="s">
        <v>62</v>
      </c>
      <c r="Q37" s="48"/>
      <c r="R37" s="48" t="s">
        <v>498</v>
      </c>
      <c r="S37" s="52"/>
      <c r="T37" s="63">
        <v>2022.0</v>
      </c>
      <c r="U37" s="48" t="s">
        <v>87</v>
      </c>
      <c r="V37" s="47" t="s">
        <v>499</v>
      </c>
    </row>
    <row r="38">
      <c r="A38" s="41" t="s">
        <v>500</v>
      </c>
      <c r="B38" s="42" t="s">
        <v>496</v>
      </c>
      <c r="C38" s="42">
        <v>4080.0</v>
      </c>
      <c r="D38" s="43">
        <v>299.0</v>
      </c>
      <c r="E38" s="42">
        <v>4.0</v>
      </c>
      <c r="F38" s="42" t="s">
        <v>501</v>
      </c>
      <c r="G38" s="42" t="s">
        <v>391</v>
      </c>
      <c r="H38" s="42" t="s">
        <v>81</v>
      </c>
      <c r="I38" s="44" t="s">
        <v>102</v>
      </c>
      <c r="J38" s="44">
        <v>24.0</v>
      </c>
      <c r="K38" s="45">
        <v>32.0</v>
      </c>
      <c r="L38" s="42" t="s">
        <v>81</v>
      </c>
      <c r="M38" s="42" t="s">
        <v>366</v>
      </c>
      <c r="N38" s="42" t="s">
        <v>492</v>
      </c>
      <c r="O38" s="42"/>
      <c r="P38" s="42" t="s">
        <v>62</v>
      </c>
      <c r="Q38" s="42"/>
      <c r="R38" s="42" t="s">
        <v>498</v>
      </c>
      <c r="S38" s="46"/>
      <c r="T38" s="42">
        <v>2022.0</v>
      </c>
      <c r="U38" s="42" t="s">
        <v>87</v>
      </c>
      <c r="V38" s="41" t="s">
        <v>502</v>
      </c>
    </row>
    <row r="39">
      <c r="A39" s="47" t="str">
        <f>HYPERLINK("https://www.elationlighting.com/flex-pixel-driver-1","Flex Pixel Driver")</f>
        <v>Flex Pixel Driver</v>
      </c>
      <c r="B39" s="48" t="s">
        <v>503</v>
      </c>
      <c r="C39" s="48">
        <v>144.0</v>
      </c>
      <c r="D39" s="49">
        <v>80.0</v>
      </c>
      <c r="E39" s="48">
        <v>2.0</v>
      </c>
      <c r="F39" s="48" t="s">
        <v>377</v>
      </c>
      <c r="G39" s="48" t="s">
        <v>157</v>
      </c>
      <c r="H39" s="48" t="s">
        <v>157</v>
      </c>
      <c r="I39" s="50" t="s">
        <v>504</v>
      </c>
      <c r="J39" s="50">
        <v>5.0</v>
      </c>
      <c r="K39" s="51"/>
      <c r="L39" s="48" t="s">
        <v>81</v>
      </c>
      <c r="M39" s="48" t="s">
        <v>366</v>
      </c>
      <c r="N39" s="48" t="s">
        <v>505</v>
      </c>
      <c r="O39" s="48"/>
      <c r="P39" s="48" t="s">
        <v>157</v>
      </c>
      <c r="Q39" s="48"/>
      <c r="S39" s="52"/>
      <c r="T39" s="48"/>
      <c r="U39" s="48" t="s">
        <v>380</v>
      </c>
      <c r="V39" s="47" t="s">
        <v>506</v>
      </c>
    </row>
    <row r="40">
      <c r="A40" s="56" t="s">
        <v>507</v>
      </c>
      <c r="B40" s="42" t="s">
        <v>508</v>
      </c>
      <c r="C40" s="42">
        <v>850.0</v>
      </c>
      <c r="D40" s="43">
        <v>20.0</v>
      </c>
      <c r="E40" s="42">
        <v>1.0</v>
      </c>
      <c r="F40" s="42" t="s">
        <v>509</v>
      </c>
      <c r="G40" s="42" t="s">
        <v>157</v>
      </c>
      <c r="H40" s="42" t="s">
        <v>157</v>
      </c>
      <c r="I40" s="44" t="s">
        <v>365</v>
      </c>
      <c r="J40" s="44">
        <v>24.0</v>
      </c>
      <c r="K40" s="45"/>
      <c r="M40" s="42" t="s">
        <v>510</v>
      </c>
      <c r="Q40" s="42"/>
      <c r="R40" s="42" t="s">
        <v>511</v>
      </c>
      <c r="S40" s="46"/>
      <c r="T40" s="59"/>
      <c r="U40" s="42" t="s">
        <v>87</v>
      </c>
      <c r="V40" s="41" t="s">
        <v>512</v>
      </c>
    </row>
    <row r="41">
      <c r="A41" s="47" t="s">
        <v>513</v>
      </c>
      <c r="B41" s="48" t="s">
        <v>508</v>
      </c>
      <c r="C41" s="48">
        <v>850.0</v>
      </c>
      <c r="D41" s="49">
        <v>30.0</v>
      </c>
      <c r="E41" s="48">
        <v>1.0</v>
      </c>
      <c r="F41" s="48" t="s">
        <v>377</v>
      </c>
      <c r="G41" s="48" t="s">
        <v>391</v>
      </c>
      <c r="H41" s="48" t="s">
        <v>81</v>
      </c>
      <c r="I41" s="50" t="s">
        <v>365</v>
      </c>
      <c r="J41" s="50">
        <v>5.0</v>
      </c>
      <c r="K41" s="51"/>
      <c r="M41" s="48" t="s">
        <v>514</v>
      </c>
      <c r="N41" s="48" t="s">
        <v>515</v>
      </c>
      <c r="Q41" s="48"/>
      <c r="R41" s="47" t="s">
        <v>516</v>
      </c>
      <c r="S41" s="52"/>
      <c r="T41" s="63"/>
      <c r="U41" s="48" t="s">
        <v>87</v>
      </c>
      <c r="V41" s="47" t="s">
        <v>517</v>
      </c>
    </row>
    <row r="42">
      <c r="A42" s="41" t="str">
        <f>HYPERLINK("https://www.tindie.com/products/electromage/electromage-serial-to-8x-ws2812apa102-driver/","ElectroMage 8x Driver")</f>
        <v>ElectroMage 8x Driver</v>
      </c>
      <c r="B42" s="42" t="s">
        <v>518</v>
      </c>
      <c r="C42" s="42">
        <v>6400.0</v>
      </c>
      <c r="D42" s="43">
        <v>15.0</v>
      </c>
      <c r="E42" s="42">
        <v>8.0</v>
      </c>
      <c r="F42" s="53" t="s">
        <v>519</v>
      </c>
      <c r="G42" s="42" t="s">
        <v>157</v>
      </c>
      <c r="H42" s="42" t="s">
        <v>157</v>
      </c>
      <c r="I42" s="42" t="s">
        <v>102</v>
      </c>
      <c r="J42" s="44">
        <v>12.0</v>
      </c>
      <c r="K42" s="45">
        <v>3.0</v>
      </c>
      <c r="L42" s="64" t="s">
        <v>81</v>
      </c>
      <c r="M42" s="42" t="s">
        <v>520</v>
      </c>
      <c r="N42" s="42" t="s">
        <v>521</v>
      </c>
      <c r="O42" s="42"/>
      <c r="P42" s="42" t="s">
        <v>157</v>
      </c>
      <c r="Q42" s="42"/>
      <c r="R42" s="42" t="s">
        <v>522</v>
      </c>
      <c r="S42" s="46"/>
      <c r="T42" s="42">
        <v>2019.0</v>
      </c>
      <c r="U42" s="42" t="s">
        <v>87</v>
      </c>
      <c r="V42" s="56" t="s">
        <v>523</v>
      </c>
    </row>
    <row r="43">
      <c r="A43" s="55" t="s">
        <v>524</v>
      </c>
      <c r="B43" s="48" t="s">
        <v>518</v>
      </c>
      <c r="C43" s="48">
        <v>5000.0</v>
      </c>
      <c r="D43" s="49">
        <v>35.0</v>
      </c>
      <c r="E43" s="48">
        <v>1.0</v>
      </c>
      <c r="F43" s="48" t="s">
        <v>377</v>
      </c>
      <c r="G43" s="48" t="s">
        <v>81</v>
      </c>
      <c r="H43" s="48" t="s">
        <v>81</v>
      </c>
      <c r="I43" s="48" t="s">
        <v>102</v>
      </c>
      <c r="J43" s="50">
        <v>5.0</v>
      </c>
      <c r="K43" s="65">
        <v>1.8</v>
      </c>
      <c r="L43" s="48" t="s">
        <v>81</v>
      </c>
      <c r="M43" s="48" t="s">
        <v>525</v>
      </c>
      <c r="N43" s="48" t="s">
        <v>447</v>
      </c>
      <c r="O43" s="48"/>
      <c r="P43" s="48" t="s">
        <v>65</v>
      </c>
      <c r="Q43" s="48"/>
      <c r="R43" s="58" t="s">
        <v>526</v>
      </c>
      <c r="S43" s="52"/>
      <c r="T43" s="48">
        <v>2018.0</v>
      </c>
      <c r="U43" s="48" t="s">
        <v>87</v>
      </c>
      <c r="V43" s="47" t="s">
        <v>527</v>
      </c>
    </row>
    <row r="44">
      <c r="A44" s="41" t="str">
        <f>HYPERLINK("https://www.tindie.com/products/electromage/electromage-pro-5-12v-8x-ws2812apa102-led-driver/","ElectroMage Pro 8x Driver")</f>
        <v>ElectroMage Pro 8x Driver</v>
      </c>
      <c r="B44" s="42" t="s">
        <v>518</v>
      </c>
      <c r="C44" s="42">
        <v>6400.0</v>
      </c>
      <c r="D44" s="43">
        <v>49.0</v>
      </c>
      <c r="E44" s="42">
        <v>8.0</v>
      </c>
      <c r="F44" s="42" t="s">
        <v>377</v>
      </c>
      <c r="G44" s="42" t="s">
        <v>157</v>
      </c>
      <c r="H44" s="42" t="s">
        <v>157</v>
      </c>
      <c r="I44" s="42" t="s">
        <v>102</v>
      </c>
      <c r="J44" s="44">
        <v>12.0</v>
      </c>
      <c r="K44" s="45">
        <v>15.0</v>
      </c>
      <c r="L44" s="42" t="s">
        <v>81</v>
      </c>
      <c r="M44" s="42" t="s">
        <v>446</v>
      </c>
      <c r="N44" s="42" t="s">
        <v>521</v>
      </c>
      <c r="O44" s="42"/>
      <c r="P44" s="42" t="s">
        <v>157</v>
      </c>
      <c r="Q44" s="42"/>
      <c r="R44" s="59" t="s">
        <v>522</v>
      </c>
      <c r="S44" s="46"/>
      <c r="T44" s="42">
        <v>2020.0</v>
      </c>
      <c r="U44" s="42" t="s">
        <v>87</v>
      </c>
      <c r="V44" s="56" t="s">
        <v>528</v>
      </c>
    </row>
    <row r="45">
      <c r="A45" s="55" t="s">
        <v>529</v>
      </c>
      <c r="B45" s="48" t="s">
        <v>530</v>
      </c>
      <c r="C45" s="48">
        <v>170.0</v>
      </c>
      <c r="D45" s="49">
        <v>17.8</v>
      </c>
      <c r="E45" s="48">
        <v>1.0</v>
      </c>
      <c r="F45" s="48" t="s">
        <v>425</v>
      </c>
      <c r="G45" s="48" t="s">
        <v>93</v>
      </c>
      <c r="H45" s="48" t="s">
        <v>93</v>
      </c>
      <c r="I45" s="50" t="s">
        <v>365</v>
      </c>
      <c r="J45" s="50">
        <v>24.0</v>
      </c>
      <c r="K45" s="51"/>
      <c r="L45" s="48" t="s">
        <v>81</v>
      </c>
      <c r="M45" s="48" t="s">
        <v>366</v>
      </c>
      <c r="O45" s="48"/>
      <c r="P45" s="48" t="s">
        <v>531</v>
      </c>
      <c r="Q45" s="48"/>
      <c r="S45" s="52"/>
      <c r="T45" s="48"/>
      <c r="U45" s="48"/>
      <c r="V45" s="47" t="s">
        <v>532</v>
      </c>
    </row>
    <row r="46">
      <c r="A46" s="41" t="str">
        <f>HYPERLINK("https://www.ebay.co.uk/itm/ArtNet-to-pixel-sACN-ArtNet-SPI-WS2811-12-WS2801-SM16703-GS8208-WS2815/221181172896","AN6USP10")</f>
        <v>AN6USP10</v>
      </c>
      <c r="B46" s="42" t="s">
        <v>530</v>
      </c>
      <c r="C46" s="42">
        <v>1020.0</v>
      </c>
      <c r="D46" s="43">
        <v>97.0</v>
      </c>
      <c r="E46" s="42">
        <v>6.0</v>
      </c>
      <c r="F46" s="42" t="s">
        <v>377</v>
      </c>
      <c r="G46" s="42" t="s">
        <v>157</v>
      </c>
      <c r="H46" s="42" t="s">
        <v>157</v>
      </c>
      <c r="I46" s="44" t="s">
        <v>102</v>
      </c>
      <c r="J46" s="44">
        <v>24.0</v>
      </c>
      <c r="K46" s="45"/>
      <c r="L46" s="42" t="s">
        <v>81</v>
      </c>
      <c r="M46" s="42" t="s">
        <v>366</v>
      </c>
      <c r="Q46" s="42"/>
      <c r="S46" s="46"/>
      <c r="T46" s="42"/>
      <c r="U46" s="42"/>
      <c r="V46" s="41" t="s">
        <v>533</v>
      </c>
    </row>
    <row r="47">
      <c r="A47" s="55" t="s">
        <v>534</v>
      </c>
      <c r="B47" s="58" t="s">
        <v>535</v>
      </c>
      <c r="C47" s="58">
        <v>2728.0</v>
      </c>
      <c r="D47" s="54" t="s">
        <v>536</v>
      </c>
      <c r="E47" s="58">
        <v>4.0</v>
      </c>
      <c r="F47" s="48" t="s">
        <v>364</v>
      </c>
      <c r="G47" s="58"/>
      <c r="H47" s="58"/>
      <c r="I47" s="60" t="s">
        <v>102</v>
      </c>
      <c r="J47" s="60">
        <v>24.0</v>
      </c>
      <c r="K47" s="61"/>
      <c r="L47" s="58" t="s">
        <v>81</v>
      </c>
      <c r="M47" s="58" t="s">
        <v>537</v>
      </c>
      <c r="N47" s="58"/>
      <c r="O47" s="58"/>
      <c r="P47" s="58" t="s">
        <v>157</v>
      </c>
      <c r="Q47" s="58"/>
      <c r="R47" s="62" t="s">
        <v>538</v>
      </c>
      <c r="S47" s="52"/>
      <c r="T47" s="58"/>
      <c r="U47" s="58" t="s">
        <v>87</v>
      </c>
      <c r="V47" s="55" t="s">
        <v>539</v>
      </c>
    </row>
    <row r="48">
      <c r="A48" s="56" t="s">
        <v>540</v>
      </c>
      <c r="B48" s="53" t="s">
        <v>535</v>
      </c>
      <c r="C48" s="53"/>
      <c r="D48" s="57" t="s">
        <v>536</v>
      </c>
      <c r="E48" s="53">
        <v>1.0</v>
      </c>
      <c r="F48" s="42" t="s">
        <v>364</v>
      </c>
      <c r="G48" s="53"/>
      <c r="H48" s="53" t="s">
        <v>93</v>
      </c>
      <c r="I48" s="66" t="s">
        <v>365</v>
      </c>
      <c r="J48" s="66"/>
      <c r="K48" s="67"/>
      <c r="L48" s="53"/>
      <c r="M48" s="53" t="s">
        <v>366</v>
      </c>
      <c r="N48" s="53"/>
      <c r="O48" s="53"/>
      <c r="P48" s="53"/>
      <c r="Q48" s="53"/>
      <c r="R48" s="68" t="s">
        <v>541</v>
      </c>
      <c r="S48" s="46"/>
      <c r="T48" s="53"/>
      <c r="U48" s="53" t="s">
        <v>87</v>
      </c>
      <c r="V48" s="56" t="s">
        <v>542</v>
      </c>
    </row>
    <row r="49">
      <c r="A49" s="55" t="s">
        <v>543</v>
      </c>
      <c r="B49" s="48" t="s">
        <v>143</v>
      </c>
      <c r="C49" s="48">
        <v>340.0</v>
      </c>
      <c r="D49" s="49">
        <v>100.0</v>
      </c>
      <c r="E49" s="48">
        <v>2.0</v>
      </c>
      <c r="F49" s="48" t="s">
        <v>377</v>
      </c>
      <c r="G49" s="48" t="s">
        <v>81</v>
      </c>
      <c r="H49" s="48" t="s">
        <v>81</v>
      </c>
      <c r="I49" s="50"/>
      <c r="J49" s="50">
        <v>48.0</v>
      </c>
      <c r="K49" s="51">
        <v>10.0</v>
      </c>
      <c r="L49" s="48" t="s">
        <v>81</v>
      </c>
      <c r="M49" s="48" t="s">
        <v>366</v>
      </c>
      <c r="N49" s="48" t="s">
        <v>367</v>
      </c>
      <c r="O49" s="48"/>
      <c r="P49" s="48" t="s">
        <v>157</v>
      </c>
      <c r="Q49" s="48"/>
      <c r="R49" s="48" t="s">
        <v>544</v>
      </c>
      <c r="S49" s="52"/>
      <c r="T49" s="63"/>
      <c r="U49" s="48" t="s">
        <v>87</v>
      </c>
      <c r="V49" s="55" t="s">
        <v>545</v>
      </c>
    </row>
    <row r="50">
      <c r="A50" s="41" t="s">
        <v>546</v>
      </c>
      <c r="B50" s="42" t="s">
        <v>143</v>
      </c>
      <c r="C50" s="42">
        <v>2720.0</v>
      </c>
      <c r="D50" s="43">
        <v>330.0</v>
      </c>
      <c r="E50" s="42">
        <v>2.0</v>
      </c>
      <c r="F50" s="42" t="s">
        <v>477</v>
      </c>
      <c r="G50" s="42" t="s">
        <v>157</v>
      </c>
      <c r="H50" s="42" t="s">
        <v>81</v>
      </c>
      <c r="I50" s="44" t="s">
        <v>102</v>
      </c>
      <c r="J50" s="44">
        <v>60.0</v>
      </c>
      <c r="K50" s="45"/>
      <c r="L50" s="42" t="s">
        <v>81</v>
      </c>
      <c r="M50" s="42" t="s">
        <v>366</v>
      </c>
      <c r="N50" s="42" t="s">
        <v>378</v>
      </c>
      <c r="O50" s="42"/>
      <c r="P50" s="42" t="s">
        <v>547</v>
      </c>
      <c r="Q50" s="42"/>
      <c r="R50" s="42" t="s">
        <v>548</v>
      </c>
      <c r="S50" s="46"/>
      <c r="T50" s="59"/>
      <c r="U50" s="42" t="s">
        <v>87</v>
      </c>
      <c r="V50" s="41" t="s">
        <v>549</v>
      </c>
    </row>
    <row r="51">
      <c r="A51" s="69" t="s">
        <v>550</v>
      </c>
      <c r="B51" s="48" t="s">
        <v>143</v>
      </c>
      <c r="C51" s="48">
        <f>680*2</f>
        <v>1360</v>
      </c>
      <c r="D51" s="49">
        <v>400.0</v>
      </c>
      <c r="E51" s="48">
        <v>2.0</v>
      </c>
      <c r="F51" s="48" t="s">
        <v>551</v>
      </c>
      <c r="G51" s="48" t="s">
        <v>157</v>
      </c>
      <c r="H51" s="48" t="s">
        <v>81</v>
      </c>
      <c r="I51" s="50" t="s">
        <v>504</v>
      </c>
      <c r="J51" s="50">
        <v>60.0</v>
      </c>
      <c r="K51" s="51"/>
      <c r="L51" s="48" t="s">
        <v>81</v>
      </c>
      <c r="M51" s="48" t="s">
        <v>366</v>
      </c>
      <c r="N51" s="48" t="s">
        <v>447</v>
      </c>
      <c r="O51" s="48"/>
      <c r="P51" s="48" t="s">
        <v>377</v>
      </c>
      <c r="Q51" s="48"/>
      <c r="S51" s="52"/>
      <c r="T51" s="48"/>
      <c r="U51" s="48" t="s">
        <v>380</v>
      </c>
      <c r="V51" s="47" t="s">
        <v>552</v>
      </c>
    </row>
    <row r="52">
      <c r="A52" s="41" t="str">
        <f>HYPERLINK("https://www.enttec.com/product/controls/addressable-led-pixel-control/din-rail-ethernet-pixel-converter/","Pixelator Mini PX1-8D")</f>
        <v>Pixelator Mini PX1-8D</v>
      </c>
      <c r="B52" s="42" t="s">
        <v>143</v>
      </c>
      <c r="C52" s="42">
        <v>2730.0</v>
      </c>
      <c r="D52" s="43">
        <v>700.0</v>
      </c>
      <c r="E52" s="42">
        <v>24.0</v>
      </c>
      <c r="F52" s="42" t="s">
        <v>414</v>
      </c>
      <c r="I52" s="44" t="s">
        <v>365</v>
      </c>
      <c r="J52" s="44"/>
      <c r="K52" s="45"/>
      <c r="L52" s="42"/>
      <c r="M52" s="42" t="s">
        <v>553</v>
      </c>
      <c r="N52" s="42" t="s">
        <v>554</v>
      </c>
      <c r="O52" s="42"/>
      <c r="P52" s="42"/>
      <c r="Q52" s="42"/>
      <c r="S52" s="46"/>
      <c r="T52" s="42"/>
      <c r="U52" s="42"/>
      <c r="V52" s="41" t="s">
        <v>555</v>
      </c>
    </row>
    <row r="53">
      <c r="A53" s="47" t="str">
        <f>HYPERLINK("https://www.enttec.co.uk/product/controls-gb/addressable-led-pixel-control-gb/24-port-ethernet-pixel-controller/","Pixelator")</f>
        <v>Pixelator</v>
      </c>
      <c r="B53" s="48" t="s">
        <v>143</v>
      </c>
      <c r="C53" s="48">
        <v>8192.0</v>
      </c>
      <c r="D53" s="49">
        <f>IFERROR(__xludf.DUMMYFUNCTION("1408*GOOGLEFINANCE(""CURRENCY:GBPUSD"")"),1890.6624)</f>
        <v>1890.6624</v>
      </c>
      <c r="F53" s="48" t="s">
        <v>364</v>
      </c>
      <c r="G53" s="48" t="s">
        <v>81</v>
      </c>
      <c r="H53" s="48" t="s">
        <v>81</v>
      </c>
      <c r="I53" s="50" t="s">
        <v>365</v>
      </c>
      <c r="J53" s="50"/>
      <c r="K53" s="51"/>
      <c r="L53" s="48" t="s">
        <v>81</v>
      </c>
      <c r="M53" s="48" t="s">
        <v>460</v>
      </c>
      <c r="N53" s="48" t="s">
        <v>554</v>
      </c>
      <c r="Q53" s="48"/>
      <c r="S53" s="52"/>
      <c r="T53" s="48"/>
      <c r="U53" s="48"/>
      <c r="V53" s="48" t="s">
        <v>556</v>
      </c>
    </row>
    <row r="54">
      <c r="A54" s="56" t="s">
        <v>557</v>
      </c>
      <c r="B54" s="42" t="s">
        <v>558</v>
      </c>
      <c r="C54" s="42">
        <v>21760.0</v>
      </c>
      <c r="D54" s="43">
        <v>189.0</v>
      </c>
      <c r="E54" s="42">
        <v>40.0</v>
      </c>
      <c r="F54" s="42" t="s">
        <v>559</v>
      </c>
      <c r="G54" s="42" t="s">
        <v>391</v>
      </c>
      <c r="H54" s="42" t="s">
        <v>81</v>
      </c>
      <c r="I54" s="44" t="s">
        <v>365</v>
      </c>
      <c r="J54" s="44">
        <v>5.0</v>
      </c>
      <c r="K54" s="45"/>
      <c r="L54" s="42" t="s">
        <v>81</v>
      </c>
      <c r="M54" s="42" t="s">
        <v>460</v>
      </c>
      <c r="N54" s="42" t="s">
        <v>367</v>
      </c>
      <c r="O54" s="42"/>
      <c r="P54" s="42" t="s">
        <v>62</v>
      </c>
      <c r="Q54" s="42"/>
      <c r="R54" s="42"/>
      <c r="S54" s="46"/>
      <c r="T54" s="42">
        <v>2022.0</v>
      </c>
      <c r="U54" s="42" t="s">
        <v>87</v>
      </c>
      <c r="V54" s="41" t="s">
        <v>560</v>
      </c>
    </row>
    <row r="55">
      <c r="A55" s="55" t="s">
        <v>561</v>
      </c>
      <c r="B55" s="48" t="s">
        <v>558</v>
      </c>
      <c r="C55" s="48">
        <v>20000.0</v>
      </c>
      <c r="D55" s="49">
        <v>300.0</v>
      </c>
      <c r="E55" s="48">
        <v>32.0</v>
      </c>
      <c r="F55" s="48" t="s">
        <v>501</v>
      </c>
      <c r="G55" s="48"/>
      <c r="H55" s="48" t="s">
        <v>157</v>
      </c>
      <c r="I55" s="50" t="s">
        <v>365</v>
      </c>
      <c r="J55" s="50">
        <v>24.0</v>
      </c>
      <c r="K55" s="51"/>
      <c r="L55" s="48" t="s">
        <v>81</v>
      </c>
      <c r="M55" s="48" t="s">
        <v>562</v>
      </c>
      <c r="N55" s="48" t="s">
        <v>437</v>
      </c>
      <c r="O55" s="48"/>
      <c r="P55" s="48" t="s">
        <v>157</v>
      </c>
      <c r="Q55" s="48"/>
      <c r="R55" s="48" t="s">
        <v>563</v>
      </c>
      <c r="S55" s="52"/>
      <c r="T55" s="48">
        <v>2023.0</v>
      </c>
      <c r="U55" s="48" t="s">
        <v>87</v>
      </c>
      <c r="V55" s="55" t="s">
        <v>564</v>
      </c>
    </row>
    <row r="56">
      <c r="A56" s="41" t="s">
        <v>565</v>
      </c>
      <c r="B56" s="42" t="s">
        <v>566</v>
      </c>
      <c r="C56" s="42">
        <v>2.04</v>
      </c>
      <c r="D56" s="43"/>
      <c r="E56" s="42">
        <v>4.0</v>
      </c>
      <c r="F56" s="42" t="s">
        <v>475</v>
      </c>
      <c r="G56" s="42" t="s">
        <v>157</v>
      </c>
      <c r="H56" s="42" t="s">
        <v>157</v>
      </c>
      <c r="I56" s="44" t="s">
        <v>102</v>
      </c>
      <c r="J56" s="44">
        <v>5.0</v>
      </c>
      <c r="K56" s="45">
        <v>40.0</v>
      </c>
      <c r="L56" s="42" t="s">
        <v>81</v>
      </c>
      <c r="M56" s="42" t="s">
        <v>567</v>
      </c>
      <c r="N56" s="42"/>
      <c r="O56" s="42"/>
      <c r="P56" s="42"/>
      <c r="Q56" s="42"/>
      <c r="R56" s="42" t="s">
        <v>568</v>
      </c>
      <c r="S56" s="46"/>
      <c r="T56" s="42"/>
      <c r="U56" s="42" t="s">
        <v>87</v>
      </c>
      <c r="V56" s="41" t="s">
        <v>569</v>
      </c>
    </row>
    <row r="57">
      <c r="A57" s="55" t="s">
        <v>570</v>
      </c>
      <c r="B57" s="48" t="s">
        <v>571</v>
      </c>
      <c r="C57" s="48">
        <v>4800.0</v>
      </c>
      <c r="D57" s="49">
        <v>45.0</v>
      </c>
      <c r="E57" s="48">
        <v>8.0</v>
      </c>
      <c r="F57" s="48" t="s">
        <v>377</v>
      </c>
      <c r="G57" s="48"/>
      <c r="H57" s="48" t="s">
        <v>431</v>
      </c>
      <c r="I57" s="50" t="s">
        <v>102</v>
      </c>
      <c r="J57" s="50">
        <v>12.0</v>
      </c>
      <c r="K57" s="51"/>
      <c r="M57" s="48"/>
      <c r="N57" s="48" t="s">
        <v>489</v>
      </c>
      <c r="O57" s="48"/>
      <c r="P57" s="48" t="s">
        <v>572</v>
      </c>
      <c r="Q57" s="48" t="s">
        <v>433</v>
      </c>
      <c r="R57" s="48"/>
      <c r="S57" s="52"/>
      <c r="T57" s="63"/>
      <c r="U57" s="48" t="s">
        <v>87</v>
      </c>
      <c r="V57" s="47" t="s">
        <v>573</v>
      </c>
    </row>
    <row r="58">
      <c r="A58" s="56" t="s">
        <v>574</v>
      </c>
      <c r="B58" s="42" t="s">
        <v>575</v>
      </c>
      <c r="C58" s="42">
        <v>2040.0</v>
      </c>
      <c r="D58" s="43">
        <v>55.0</v>
      </c>
      <c r="E58" s="42">
        <v>4.0</v>
      </c>
      <c r="F58" s="42" t="s">
        <v>377</v>
      </c>
      <c r="G58" s="42"/>
      <c r="H58" s="42" t="s">
        <v>157</v>
      </c>
      <c r="I58" s="44" t="s">
        <v>365</v>
      </c>
      <c r="J58" s="44">
        <v>24.0</v>
      </c>
      <c r="K58" s="45">
        <v>20.0</v>
      </c>
      <c r="L58" s="42" t="s">
        <v>81</v>
      </c>
      <c r="M58" s="42" t="s">
        <v>366</v>
      </c>
      <c r="N58" s="42" t="s">
        <v>447</v>
      </c>
      <c r="O58" s="42"/>
      <c r="P58" s="42"/>
      <c r="Q58" s="42" t="s">
        <v>433</v>
      </c>
      <c r="R58" s="42" t="s">
        <v>576</v>
      </c>
      <c r="S58" s="46"/>
      <c r="T58" s="42">
        <v>2022.0</v>
      </c>
      <c r="U58" s="42" t="s">
        <v>380</v>
      </c>
      <c r="V58" s="41" t="s">
        <v>577</v>
      </c>
    </row>
    <row r="59">
      <c r="A59" s="47" t="s">
        <v>578</v>
      </c>
      <c r="B59" s="48" t="s">
        <v>575</v>
      </c>
      <c r="C59" s="48">
        <v>65280.0</v>
      </c>
      <c r="D59" s="49">
        <v>190.0</v>
      </c>
      <c r="E59" s="48">
        <v>48.0</v>
      </c>
      <c r="F59" s="48" t="s">
        <v>383</v>
      </c>
      <c r="G59" s="48" t="s">
        <v>391</v>
      </c>
      <c r="H59" s="48" t="s">
        <v>81</v>
      </c>
      <c r="I59" s="50" t="s">
        <v>365</v>
      </c>
      <c r="J59" s="50">
        <v>24.0</v>
      </c>
      <c r="K59" s="51"/>
      <c r="L59" s="48" t="s">
        <v>94</v>
      </c>
      <c r="M59" s="48" t="s">
        <v>488</v>
      </c>
      <c r="N59" s="48"/>
      <c r="O59" s="48"/>
      <c r="P59" s="48"/>
      <c r="Q59" s="48"/>
      <c r="R59" s="48" t="s">
        <v>579</v>
      </c>
      <c r="S59" s="52"/>
      <c r="T59" s="48">
        <v>2022.0</v>
      </c>
      <c r="U59" s="48" t="s">
        <v>380</v>
      </c>
      <c r="V59" s="47" t="s">
        <v>580</v>
      </c>
    </row>
    <row r="60">
      <c r="A60" s="41" t="str">
        <f>HYPERLINK("https://www.holidaycoro.com/AlphaPix-16-Pixel-Controller-V3-p/721-v3.htm","AlphaPix Classic 16 V3")</f>
        <v>AlphaPix Classic 16 V3</v>
      </c>
      <c r="B60" s="42" t="s">
        <v>581</v>
      </c>
      <c r="C60" s="42">
        <v>5440.0</v>
      </c>
      <c r="D60" s="43">
        <v>174.95</v>
      </c>
      <c r="E60" s="42">
        <v>16.0</v>
      </c>
      <c r="F60" s="42" t="s">
        <v>582</v>
      </c>
      <c r="I60" s="44" t="s">
        <v>102</v>
      </c>
      <c r="J60" s="44">
        <v>24.0</v>
      </c>
      <c r="K60" s="45">
        <v>60.0</v>
      </c>
      <c r="L60" s="42" t="s">
        <v>81</v>
      </c>
      <c r="M60" s="42" t="s">
        <v>366</v>
      </c>
      <c r="N60" s="42" t="s">
        <v>447</v>
      </c>
      <c r="O60" s="42"/>
      <c r="P60" s="42" t="s">
        <v>583</v>
      </c>
      <c r="Q60" s="42"/>
      <c r="S60" s="46"/>
      <c r="T60" s="42"/>
      <c r="U60" s="42"/>
      <c r="V60" s="42" t="s">
        <v>584</v>
      </c>
    </row>
    <row r="61">
      <c r="A61" s="47" t="s">
        <v>585</v>
      </c>
      <c r="B61" s="48" t="s">
        <v>581</v>
      </c>
      <c r="C61" s="48">
        <v>16320.0</v>
      </c>
      <c r="D61" s="49">
        <v>190.0</v>
      </c>
      <c r="E61" s="48">
        <v>48.0</v>
      </c>
      <c r="F61" s="48" t="s">
        <v>383</v>
      </c>
      <c r="G61" s="48" t="s">
        <v>157</v>
      </c>
      <c r="H61" s="48" t="s">
        <v>157</v>
      </c>
      <c r="I61" s="50" t="s">
        <v>102</v>
      </c>
      <c r="J61" s="50">
        <v>24.0</v>
      </c>
      <c r="K61" s="51">
        <v>80.0</v>
      </c>
      <c r="L61" s="48"/>
      <c r="M61" s="48" t="s">
        <v>488</v>
      </c>
      <c r="N61" s="48" t="s">
        <v>447</v>
      </c>
      <c r="O61" s="48"/>
      <c r="P61" s="48" t="s">
        <v>586</v>
      </c>
      <c r="Q61" s="48"/>
      <c r="R61" s="48"/>
      <c r="S61" s="52"/>
      <c r="T61" s="48"/>
      <c r="U61" s="48" t="s">
        <v>87</v>
      </c>
      <c r="V61" s="48"/>
    </row>
    <row r="62">
      <c r="A62" s="41" t="s">
        <v>587</v>
      </c>
      <c r="B62" s="42" t="s">
        <v>588</v>
      </c>
      <c r="C62" s="42"/>
      <c r="D62" s="43">
        <v>40.0</v>
      </c>
      <c r="E62" s="42">
        <v>17.0</v>
      </c>
      <c r="F62" s="42" t="s">
        <v>377</v>
      </c>
      <c r="G62" s="42" t="s">
        <v>81</v>
      </c>
      <c r="H62" s="42" t="s">
        <v>81</v>
      </c>
      <c r="I62" s="44" t="s">
        <v>102</v>
      </c>
      <c r="J62" s="44"/>
      <c r="K62" s="45">
        <v>10.0</v>
      </c>
      <c r="L62" s="42"/>
      <c r="M62" s="42" t="s">
        <v>371</v>
      </c>
      <c r="N62" s="42"/>
      <c r="O62" s="42"/>
      <c r="P62" s="42"/>
      <c r="Q62" s="42"/>
      <c r="R62" s="42" t="s">
        <v>589</v>
      </c>
      <c r="S62" s="46"/>
      <c r="T62" s="42">
        <v>2020.0</v>
      </c>
      <c r="U62" s="42" t="s">
        <v>87</v>
      </c>
      <c r="V62" s="41" t="s">
        <v>590</v>
      </c>
    </row>
    <row r="63">
      <c r="A63" s="55" t="s">
        <v>591</v>
      </c>
      <c r="B63" s="48" t="s">
        <v>592</v>
      </c>
      <c r="C63" s="58">
        <v>1200.0</v>
      </c>
      <c r="D63" s="54">
        <v>29.0</v>
      </c>
      <c r="E63" s="58">
        <v>2.0</v>
      </c>
      <c r="F63" s="48" t="s">
        <v>377</v>
      </c>
      <c r="G63" s="58" t="s">
        <v>81</v>
      </c>
      <c r="H63" s="58" t="s">
        <v>81</v>
      </c>
      <c r="I63" s="50"/>
      <c r="J63" s="60">
        <v>12.0</v>
      </c>
      <c r="K63" s="61">
        <v>6.0</v>
      </c>
      <c r="M63" s="58" t="s">
        <v>593</v>
      </c>
      <c r="N63" s="48"/>
      <c r="O63" s="48"/>
      <c r="P63" s="48"/>
      <c r="Q63" s="48"/>
      <c r="R63" s="58" t="s">
        <v>594</v>
      </c>
      <c r="S63" s="52"/>
      <c r="T63" s="48"/>
      <c r="U63" s="48"/>
      <c r="V63" s="62"/>
    </row>
    <row r="64">
      <c r="A64" s="41" t="s">
        <v>595</v>
      </c>
      <c r="B64" s="42" t="s">
        <v>592</v>
      </c>
      <c r="C64" s="42">
        <v>6400.0</v>
      </c>
      <c r="D64" s="43">
        <v>70.0</v>
      </c>
      <c r="E64" s="42">
        <v>4.0</v>
      </c>
      <c r="F64" s="42" t="s">
        <v>377</v>
      </c>
      <c r="G64" s="42" t="s">
        <v>81</v>
      </c>
      <c r="H64" s="42" t="s">
        <v>81</v>
      </c>
      <c r="I64" s="44" t="s">
        <v>365</v>
      </c>
      <c r="J64" s="44">
        <v>12.0</v>
      </c>
      <c r="K64" s="45">
        <v>20.0</v>
      </c>
      <c r="L64" s="42" t="s">
        <v>81</v>
      </c>
      <c r="M64" s="42" t="s">
        <v>366</v>
      </c>
      <c r="N64" s="42" t="s">
        <v>367</v>
      </c>
      <c r="O64" s="42"/>
      <c r="P64" s="42" t="s">
        <v>62</v>
      </c>
      <c r="Q64" s="42"/>
      <c r="R64" s="70" t="s">
        <v>596</v>
      </c>
      <c r="S64" s="46"/>
      <c r="T64" s="42"/>
      <c r="U64" s="42" t="s">
        <v>87</v>
      </c>
      <c r="V64" s="41" t="s">
        <v>597</v>
      </c>
    </row>
    <row r="65">
      <c r="A65" s="47" t="s">
        <v>598</v>
      </c>
      <c r="B65" s="48" t="s">
        <v>592</v>
      </c>
      <c r="C65" s="48">
        <v>57600.0</v>
      </c>
      <c r="D65" s="49">
        <v>98.0</v>
      </c>
      <c r="E65" s="48">
        <v>36.0</v>
      </c>
      <c r="F65" s="48" t="s">
        <v>377</v>
      </c>
      <c r="G65" s="48" t="s">
        <v>81</v>
      </c>
      <c r="H65" s="48" t="s">
        <v>81</v>
      </c>
      <c r="I65" s="50" t="s">
        <v>365</v>
      </c>
      <c r="J65" s="50">
        <v>12.0</v>
      </c>
      <c r="K65" s="51">
        <v>30.0</v>
      </c>
      <c r="L65" s="48" t="s">
        <v>81</v>
      </c>
      <c r="M65" s="48" t="s">
        <v>599</v>
      </c>
      <c r="N65" s="48" t="s">
        <v>367</v>
      </c>
      <c r="O65" s="48"/>
      <c r="P65" s="48" t="s">
        <v>62</v>
      </c>
      <c r="Q65" s="48"/>
      <c r="R65" s="48" t="s">
        <v>600</v>
      </c>
      <c r="S65" s="52"/>
      <c r="T65" s="48"/>
      <c r="U65" s="48" t="s">
        <v>87</v>
      </c>
      <c r="V65" s="47" t="s">
        <v>601</v>
      </c>
    </row>
    <row r="66">
      <c r="A66" s="41" t="s">
        <v>602</v>
      </c>
      <c r="B66" s="42" t="s">
        <v>592</v>
      </c>
      <c r="C66" s="42">
        <v>64000.0</v>
      </c>
      <c r="D66" s="43">
        <v>108.0</v>
      </c>
      <c r="E66" s="42">
        <v>40.0</v>
      </c>
      <c r="F66" s="42" t="s">
        <v>377</v>
      </c>
      <c r="G66" s="42" t="s">
        <v>81</v>
      </c>
      <c r="H66" s="42" t="s">
        <v>81</v>
      </c>
      <c r="I66" s="44" t="s">
        <v>365</v>
      </c>
      <c r="J66" s="44">
        <v>5.0</v>
      </c>
      <c r="K66" s="45"/>
      <c r="L66" s="42"/>
      <c r="M66" s="42" t="s">
        <v>465</v>
      </c>
      <c r="N66" s="42" t="s">
        <v>367</v>
      </c>
      <c r="O66" s="42"/>
      <c r="P66" s="42" t="s">
        <v>62</v>
      </c>
      <c r="Q66" s="42"/>
      <c r="R66" s="42"/>
      <c r="S66" s="46"/>
      <c r="T66" s="42"/>
      <c r="U66" s="42" t="s">
        <v>87</v>
      </c>
      <c r="V66" s="56" t="s">
        <v>603</v>
      </c>
    </row>
    <row r="67">
      <c r="A67" s="47" t="s">
        <v>604</v>
      </c>
      <c r="B67" s="48" t="s">
        <v>592</v>
      </c>
      <c r="C67" s="48">
        <v>57600.0</v>
      </c>
      <c r="D67" s="49">
        <v>123.0</v>
      </c>
      <c r="E67" s="48">
        <v>36.0</v>
      </c>
      <c r="F67" s="48" t="s">
        <v>377</v>
      </c>
      <c r="G67" s="48" t="s">
        <v>81</v>
      </c>
      <c r="H67" s="48" t="s">
        <v>81</v>
      </c>
      <c r="I67" s="50" t="s">
        <v>365</v>
      </c>
      <c r="J67" s="50">
        <v>12.0</v>
      </c>
      <c r="K67" s="51">
        <v>30.0</v>
      </c>
      <c r="L67" s="48" t="s">
        <v>81</v>
      </c>
      <c r="M67" s="48" t="s">
        <v>599</v>
      </c>
      <c r="N67" s="48" t="s">
        <v>367</v>
      </c>
      <c r="O67" s="48"/>
      <c r="P67" s="48" t="s">
        <v>586</v>
      </c>
      <c r="Q67" s="48"/>
      <c r="R67" s="48" t="s">
        <v>605</v>
      </c>
      <c r="S67" s="52"/>
      <c r="T67" s="48"/>
      <c r="U67" s="48" t="s">
        <v>87</v>
      </c>
      <c r="V67" s="55" t="s">
        <v>606</v>
      </c>
    </row>
    <row r="68">
      <c r="A68" s="56" t="s">
        <v>607</v>
      </c>
      <c r="B68" s="42" t="s">
        <v>592</v>
      </c>
      <c r="C68" s="42">
        <v>72000.0</v>
      </c>
      <c r="D68" s="43">
        <v>160.0</v>
      </c>
      <c r="E68" s="42">
        <v>48.0</v>
      </c>
      <c r="F68" s="42" t="s">
        <v>377</v>
      </c>
      <c r="G68" s="42" t="s">
        <v>81</v>
      </c>
      <c r="H68" s="42" t="s">
        <v>81</v>
      </c>
      <c r="I68" s="44" t="s">
        <v>365</v>
      </c>
      <c r="J68" s="44">
        <v>12.0</v>
      </c>
      <c r="K68" s="45">
        <v>60.0</v>
      </c>
      <c r="L68" s="42" t="s">
        <v>81</v>
      </c>
      <c r="M68" s="42" t="s">
        <v>599</v>
      </c>
      <c r="N68" s="42" t="s">
        <v>367</v>
      </c>
      <c r="O68" s="42"/>
      <c r="P68" s="42" t="s">
        <v>586</v>
      </c>
      <c r="Q68" s="42"/>
      <c r="R68" s="53" t="s">
        <v>608</v>
      </c>
      <c r="S68" s="46"/>
      <c r="T68" s="42"/>
      <c r="U68" s="42" t="s">
        <v>87</v>
      </c>
      <c r="V68" s="41" t="s">
        <v>609</v>
      </c>
    </row>
    <row r="69">
      <c r="A69" s="55" t="s">
        <v>610</v>
      </c>
      <c r="B69" s="48" t="s">
        <v>592</v>
      </c>
      <c r="C69" s="48">
        <v>72000.0</v>
      </c>
      <c r="D69" s="49">
        <v>195.0</v>
      </c>
      <c r="E69" s="48">
        <v>48.0</v>
      </c>
      <c r="F69" s="48" t="s">
        <v>611</v>
      </c>
      <c r="G69" s="48" t="s">
        <v>81</v>
      </c>
      <c r="H69" s="48" t="s">
        <v>81</v>
      </c>
      <c r="I69" s="50" t="s">
        <v>365</v>
      </c>
      <c r="J69" s="50">
        <v>12.0</v>
      </c>
      <c r="K69" s="51">
        <v>160.0</v>
      </c>
      <c r="L69" s="48" t="s">
        <v>81</v>
      </c>
      <c r="M69" s="48" t="s">
        <v>599</v>
      </c>
      <c r="N69" s="48" t="s">
        <v>367</v>
      </c>
      <c r="O69" s="48"/>
      <c r="P69" s="48" t="s">
        <v>586</v>
      </c>
      <c r="Q69" s="48"/>
      <c r="R69" s="48" t="s">
        <v>612</v>
      </c>
      <c r="S69" s="52"/>
      <c r="T69" s="48"/>
      <c r="U69" s="48" t="s">
        <v>87</v>
      </c>
      <c r="V69" s="47" t="s">
        <v>613</v>
      </c>
    </row>
    <row r="70">
      <c r="A70" s="41" t="s">
        <v>614</v>
      </c>
      <c r="B70" s="42" t="s">
        <v>592</v>
      </c>
      <c r="C70" s="42">
        <v>16384.0</v>
      </c>
      <c r="D70" s="43">
        <v>229.0</v>
      </c>
      <c r="E70" s="42">
        <v>16.0</v>
      </c>
      <c r="F70" s="42" t="s">
        <v>615</v>
      </c>
      <c r="G70" s="42" t="s">
        <v>391</v>
      </c>
      <c r="H70" s="42" t="s">
        <v>431</v>
      </c>
      <c r="I70" s="44" t="s">
        <v>365</v>
      </c>
      <c r="J70" s="44"/>
      <c r="K70" s="45"/>
      <c r="M70" s="42" t="s">
        <v>616</v>
      </c>
      <c r="N70" s="42" t="s">
        <v>617</v>
      </c>
      <c r="O70" s="42"/>
      <c r="P70" s="42" t="s">
        <v>157</v>
      </c>
      <c r="Q70" s="42"/>
      <c r="R70" s="42"/>
      <c r="S70" s="46"/>
      <c r="T70" s="59"/>
      <c r="U70" s="42" t="s">
        <v>87</v>
      </c>
      <c r="V70" s="41" t="s">
        <v>618</v>
      </c>
    </row>
    <row r="71">
      <c r="A71" s="47" t="s">
        <v>619</v>
      </c>
      <c r="B71" s="48" t="s">
        <v>592</v>
      </c>
      <c r="C71" s="48">
        <v>80000.0</v>
      </c>
      <c r="D71" s="49">
        <v>230.0</v>
      </c>
      <c r="E71" s="48">
        <v>64.0</v>
      </c>
      <c r="F71" s="48" t="s">
        <v>615</v>
      </c>
      <c r="G71" s="48" t="s">
        <v>81</v>
      </c>
      <c r="H71" s="48" t="s">
        <v>81</v>
      </c>
      <c r="I71" s="50" t="s">
        <v>365</v>
      </c>
      <c r="J71" s="50">
        <v>5.0</v>
      </c>
      <c r="K71" s="51"/>
      <c r="L71" s="48"/>
      <c r="M71" s="48" t="s">
        <v>465</v>
      </c>
      <c r="N71" s="48" t="s">
        <v>367</v>
      </c>
      <c r="O71" s="48"/>
      <c r="P71" s="48" t="s">
        <v>586</v>
      </c>
      <c r="Q71" s="48"/>
      <c r="R71" s="48" t="s">
        <v>620</v>
      </c>
      <c r="S71" s="52"/>
      <c r="T71" s="48"/>
      <c r="U71" s="48" t="s">
        <v>87</v>
      </c>
      <c r="V71" s="47" t="s">
        <v>621</v>
      </c>
    </row>
    <row r="72">
      <c r="A72" s="41" t="s">
        <v>622</v>
      </c>
      <c r="B72" s="42" t="s">
        <v>592</v>
      </c>
      <c r="C72" s="42">
        <v>80000.0</v>
      </c>
      <c r="D72" s="43">
        <v>270.0</v>
      </c>
      <c r="E72" s="42">
        <v>128.0</v>
      </c>
      <c r="F72" s="42" t="s">
        <v>623</v>
      </c>
      <c r="G72" s="42" t="s">
        <v>81</v>
      </c>
      <c r="H72" s="42" t="s">
        <v>81</v>
      </c>
      <c r="I72" s="44" t="s">
        <v>365</v>
      </c>
      <c r="J72" s="44">
        <v>5.0</v>
      </c>
      <c r="K72" s="45"/>
      <c r="M72" s="42" t="s">
        <v>465</v>
      </c>
      <c r="N72" s="42" t="s">
        <v>367</v>
      </c>
      <c r="O72" s="42"/>
      <c r="P72" s="42" t="s">
        <v>586</v>
      </c>
      <c r="Q72" s="42"/>
      <c r="R72" s="42" t="s">
        <v>620</v>
      </c>
      <c r="S72" s="46"/>
      <c r="T72" s="42"/>
      <c r="U72" s="42" t="s">
        <v>87</v>
      </c>
      <c r="V72" s="56" t="s">
        <v>624</v>
      </c>
    </row>
    <row r="73">
      <c r="A73" s="69" t="s">
        <v>625</v>
      </c>
      <c r="B73" s="48" t="s">
        <v>626</v>
      </c>
      <c r="C73" s="48">
        <v>22400.0</v>
      </c>
      <c r="D73" s="49">
        <v>199.0</v>
      </c>
      <c r="E73" s="48">
        <v>16.0</v>
      </c>
      <c r="F73" s="48" t="s">
        <v>497</v>
      </c>
      <c r="G73" s="48" t="s">
        <v>391</v>
      </c>
      <c r="H73" s="48" t="s">
        <v>81</v>
      </c>
      <c r="I73" s="50" t="s">
        <v>365</v>
      </c>
      <c r="J73" s="50">
        <v>24.0</v>
      </c>
      <c r="K73" s="51"/>
      <c r="L73" s="48" t="s">
        <v>81</v>
      </c>
      <c r="M73" s="48" t="s">
        <v>366</v>
      </c>
      <c r="N73" s="48"/>
      <c r="O73" s="48"/>
      <c r="P73" s="48" t="s">
        <v>627</v>
      </c>
      <c r="Q73" s="48"/>
      <c r="R73" s="48" t="s">
        <v>628</v>
      </c>
      <c r="S73" s="52"/>
      <c r="T73" s="48"/>
      <c r="U73" s="48"/>
      <c r="V73" s="47" t="s">
        <v>629</v>
      </c>
    </row>
    <row r="74">
      <c r="A74" s="41" t="s">
        <v>630</v>
      </c>
      <c r="B74" s="42" t="s">
        <v>191</v>
      </c>
      <c r="C74" s="42">
        <v>1024.0</v>
      </c>
      <c r="D74" s="43">
        <v>150.0</v>
      </c>
      <c r="E74" s="42">
        <v>1.0</v>
      </c>
      <c r="F74" s="42" t="s">
        <v>377</v>
      </c>
      <c r="G74" s="42" t="s">
        <v>391</v>
      </c>
      <c r="H74" s="42" t="s">
        <v>81</v>
      </c>
      <c r="I74" s="44" t="s">
        <v>102</v>
      </c>
      <c r="J74" s="44">
        <v>24.0</v>
      </c>
      <c r="K74" s="45">
        <v>10.0</v>
      </c>
      <c r="L74" s="42" t="s">
        <v>81</v>
      </c>
      <c r="M74" s="42" t="s">
        <v>631</v>
      </c>
      <c r="N74" s="42" t="s">
        <v>422</v>
      </c>
      <c r="O74" s="42"/>
      <c r="P74" s="42" t="s">
        <v>62</v>
      </c>
      <c r="Q74" s="42"/>
      <c r="R74" s="41" t="s">
        <v>632</v>
      </c>
      <c r="S74" s="46"/>
      <c r="T74" s="42"/>
      <c r="U74" s="42" t="s">
        <v>87</v>
      </c>
      <c r="V74" s="41" t="s">
        <v>633</v>
      </c>
    </row>
    <row r="75">
      <c r="A75" s="47" t="s">
        <v>634</v>
      </c>
      <c r="B75" s="48" t="s">
        <v>191</v>
      </c>
      <c r="C75" s="48">
        <v>1024.0</v>
      </c>
      <c r="D75" s="49">
        <v>225.0</v>
      </c>
      <c r="E75" s="48">
        <v>1.0</v>
      </c>
      <c r="F75" s="48" t="s">
        <v>615</v>
      </c>
      <c r="G75" s="48" t="s">
        <v>391</v>
      </c>
      <c r="H75" s="48" t="s">
        <v>81</v>
      </c>
      <c r="I75" s="50" t="s">
        <v>102</v>
      </c>
      <c r="J75" s="50">
        <v>24.0</v>
      </c>
      <c r="K75" s="51">
        <v>5.0</v>
      </c>
      <c r="L75" s="48" t="s">
        <v>81</v>
      </c>
      <c r="M75" s="48" t="s">
        <v>488</v>
      </c>
      <c r="N75" s="48" t="s">
        <v>422</v>
      </c>
      <c r="O75" s="48"/>
      <c r="P75" s="48"/>
      <c r="Q75" s="48"/>
      <c r="R75" s="47" t="s">
        <v>635</v>
      </c>
      <c r="S75" s="52"/>
      <c r="T75" s="48">
        <v>2020.0</v>
      </c>
      <c r="U75" s="48" t="s">
        <v>87</v>
      </c>
      <c r="V75" s="47" t="s">
        <v>636</v>
      </c>
    </row>
    <row r="76">
      <c r="A76" s="41" t="s">
        <v>637</v>
      </c>
      <c r="B76" s="42" t="s">
        <v>638</v>
      </c>
      <c r="C76" s="42">
        <v>4096.0</v>
      </c>
      <c r="D76" s="43">
        <v>299.0</v>
      </c>
      <c r="E76" s="42">
        <v>4.0</v>
      </c>
      <c r="F76" s="42" t="s">
        <v>501</v>
      </c>
      <c r="G76" s="42" t="s">
        <v>391</v>
      </c>
      <c r="H76" s="42" t="s">
        <v>81</v>
      </c>
      <c r="I76" s="44" t="s">
        <v>102</v>
      </c>
      <c r="J76" s="44">
        <v>24.0</v>
      </c>
      <c r="K76" s="45">
        <v>20.0</v>
      </c>
      <c r="L76" s="42" t="s">
        <v>81</v>
      </c>
      <c r="M76" s="42" t="s">
        <v>488</v>
      </c>
      <c r="N76" s="42" t="s">
        <v>639</v>
      </c>
      <c r="O76" s="42"/>
      <c r="P76" s="42" t="s">
        <v>62</v>
      </c>
      <c r="Q76" s="42"/>
      <c r="R76" s="41" t="s">
        <v>640</v>
      </c>
      <c r="S76" s="46">
        <v>5.0</v>
      </c>
      <c r="T76" s="42">
        <v>2020.0</v>
      </c>
      <c r="U76" s="42" t="s">
        <v>87</v>
      </c>
      <c r="V76" s="41" t="s">
        <v>641</v>
      </c>
    </row>
    <row r="77">
      <c r="A77" s="47" t="s">
        <v>642</v>
      </c>
      <c r="B77" s="48" t="s">
        <v>191</v>
      </c>
      <c r="C77" s="48">
        <v>4096.0</v>
      </c>
      <c r="D77" s="49">
        <v>625.0</v>
      </c>
      <c r="E77" s="48">
        <v>4.0</v>
      </c>
      <c r="F77" s="48" t="s">
        <v>643</v>
      </c>
      <c r="G77" s="48" t="s">
        <v>391</v>
      </c>
      <c r="H77" s="48" t="s">
        <v>81</v>
      </c>
      <c r="I77" s="50" t="s">
        <v>102</v>
      </c>
      <c r="J77" s="50">
        <v>24.0</v>
      </c>
      <c r="K77" s="51">
        <v>20.0</v>
      </c>
      <c r="L77" s="48" t="s">
        <v>81</v>
      </c>
      <c r="M77" s="48" t="s">
        <v>488</v>
      </c>
      <c r="N77" s="48" t="s">
        <v>639</v>
      </c>
      <c r="O77" s="48"/>
      <c r="P77" s="48" t="s">
        <v>62</v>
      </c>
      <c r="Q77" s="48"/>
      <c r="R77" s="47" t="s">
        <v>640</v>
      </c>
      <c r="S77" s="52">
        <v>5.0</v>
      </c>
      <c r="T77" s="48"/>
      <c r="U77" s="48" t="s">
        <v>87</v>
      </c>
      <c r="V77" s="47" t="s">
        <v>644</v>
      </c>
    </row>
    <row r="78">
      <c r="A78" s="41" t="s">
        <v>645</v>
      </c>
      <c r="B78" s="42" t="s">
        <v>191</v>
      </c>
      <c r="C78" s="42">
        <v>4096.0</v>
      </c>
      <c r="D78" s="43">
        <v>850.0</v>
      </c>
      <c r="E78" s="42">
        <v>4.0</v>
      </c>
      <c r="F78" s="42" t="s">
        <v>414</v>
      </c>
      <c r="G78" s="42" t="s">
        <v>391</v>
      </c>
      <c r="H78" s="42" t="s">
        <v>81</v>
      </c>
      <c r="I78" s="44" t="s">
        <v>102</v>
      </c>
      <c r="J78" s="44">
        <v>24.0</v>
      </c>
      <c r="K78" s="45">
        <v>20.0</v>
      </c>
      <c r="L78" s="42" t="s">
        <v>81</v>
      </c>
      <c r="M78" s="42" t="s">
        <v>488</v>
      </c>
      <c r="N78" s="42" t="s">
        <v>639</v>
      </c>
      <c r="O78" s="42"/>
      <c r="P78" s="42" t="s">
        <v>62</v>
      </c>
      <c r="Q78" s="42"/>
      <c r="R78" s="41" t="s">
        <v>640</v>
      </c>
      <c r="S78" s="46">
        <v>5.0</v>
      </c>
      <c r="T78" s="42"/>
      <c r="U78" s="42" t="s">
        <v>87</v>
      </c>
      <c r="V78" s="41" t="s">
        <v>646</v>
      </c>
    </row>
    <row r="79">
      <c r="A79" s="47" t="str">
        <f>HYPERLINK("https://www.lumikit.com.br/international","Pixelbox")</f>
        <v>Pixelbox</v>
      </c>
      <c r="B79" s="48" t="s">
        <v>647</v>
      </c>
      <c r="C79" s="48">
        <v>2730.0</v>
      </c>
      <c r="D79" s="49">
        <v>199.0</v>
      </c>
      <c r="F79" s="48" t="s">
        <v>497</v>
      </c>
      <c r="I79" s="50"/>
      <c r="J79" s="50"/>
      <c r="K79" s="51"/>
      <c r="S79" s="52"/>
      <c r="T79" s="63"/>
      <c r="U79" s="48"/>
      <c r="V79" s="47" t="s">
        <v>648</v>
      </c>
    </row>
    <row r="80">
      <c r="A80" s="41" t="s">
        <v>649</v>
      </c>
      <c r="B80" s="42" t="s">
        <v>649</v>
      </c>
      <c r="C80" s="42">
        <v>600.0</v>
      </c>
      <c r="D80" s="43">
        <v>49.99</v>
      </c>
      <c r="E80" s="42">
        <v>1.0</v>
      </c>
      <c r="F80" s="42" t="s">
        <v>377</v>
      </c>
      <c r="G80" s="42" t="s">
        <v>157</v>
      </c>
      <c r="H80" s="42" t="s">
        <v>81</v>
      </c>
      <c r="I80" s="44" t="s">
        <v>365</v>
      </c>
      <c r="J80" s="44">
        <v>5.0</v>
      </c>
      <c r="K80" s="45">
        <v>1.0</v>
      </c>
      <c r="L80" s="42" t="s">
        <v>81</v>
      </c>
      <c r="M80" s="42" t="s">
        <v>650</v>
      </c>
      <c r="N80" s="42" t="s">
        <v>367</v>
      </c>
      <c r="O80" s="42"/>
      <c r="P80" s="42"/>
      <c r="Q80" s="42"/>
      <c r="R80" s="42" t="s">
        <v>651</v>
      </c>
      <c r="S80" s="46"/>
      <c r="T80" s="42">
        <v>2020.0</v>
      </c>
      <c r="U80" s="42" t="s">
        <v>87</v>
      </c>
      <c r="V80" s="41" t="s">
        <v>652</v>
      </c>
    </row>
    <row r="81">
      <c r="A81" s="47" t="str">
        <f>HYPERLINK("https://www.madrix.com/products/nebula","Madrix Nebula")</f>
        <v>Madrix Nebula</v>
      </c>
      <c r="B81" s="48" t="s">
        <v>653</v>
      </c>
      <c r="C81" s="48">
        <v>2048.0</v>
      </c>
      <c r="D81" s="49">
        <v>350.0</v>
      </c>
      <c r="E81" s="48">
        <v>2.0</v>
      </c>
      <c r="F81" s="48" t="s">
        <v>654</v>
      </c>
      <c r="G81" s="48" t="s">
        <v>157</v>
      </c>
      <c r="H81" s="48" t="s">
        <v>157</v>
      </c>
      <c r="I81" s="50"/>
      <c r="J81" s="50">
        <v>24.0</v>
      </c>
      <c r="K81" s="51"/>
      <c r="M81" s="48" t="s">
        <v>655</v>
      </c>
      <c r="Q81" s="48"/>
      <c r="S81" s="52"/>
      <c r="T81" s="48"/>
      <c r="U81" s="48"/>
      <c r="V81" s="48" t="s">
        <v>656</v>
      </c>
    </row>
    <row r="82">
      <c r="A82" s="56" t="s">
        <v>657</v>
      </c>
      <c r="B82" s="56" t="s">
        <v>658</v>
      </c>
      <c r="C82" s="53"/>
      <c r="D82" s="57">
        <v>29.9</v>
      </c>
      <c r="E82" s="53">
        <v>1.0</v>
      </c>
      <c r="F82" s="42" t="s">
        <v>377</v>
      </c>
      <c r="G82" s="53" t="s">
        <v>157</v>
      </c>
      <c r="H82" s="53" t="s">
        <v>81</v>
      </c>
      <c r="I82" s="66" t="s">
        <v>365</v>
      </c>
      <c r="J82" s="66">
        <v>12.0</v>
      </c>
      <c r="K82" s="67">
        <v>3.0</v>
      </c>
      <c r="L82" s="53"/>
      <c r="M82" s="53" t="s">
        <v>659</v>
      </c>
      <c r="N82" s="53"/>
      <c r="O82" s="53"/>
      <c r="P82" s="53"/>
      <c r="Q82" s="53" t="s">
        <v>94</v>
      </c>
      <c r="R82" s="68" t="s">
        <v>660</v>
      </c>
      <c r="S82" s="46"/>
      <c r="T82" s="53"/>
      <c r="U82" s="53" t="s">
        <v>87</v>
      </c>
      <c r="V82" s="68"/>
    </row>
    <row r="83">
      <c r="A83" s="47" t="s">
        <v>661</v>
      </c>
      <c r="B83" s="48" t="s">
        <v>662</v>
      </c>
      <c r="C83" s="48">
        <v>6400.0</v>
      </c>
      <c r="D83" s="49">
        <v>22.0</v>
      </c>
      <c r="E83" s="48">
        <v>4.0</v>
      </c>
      <c r="F83" s="48" t="s">
        <v>62</v>
      </c>
      <c r="G83" s="48" t="s">
        <v>157</v>
      </c>
      <c r="H83" s="48" t="s">
        <v>81</v>
      </c>
      <c r="I83" s="50" t="s">
        <v>102</v>
      </c>
      <c r="J83" s="50">
        <v>12.0</v>
      </c>
      <c r="K83" s="51"/>
      <c r="L83" s="48" t="s">
        <v>81</v>
      </c>
      <c r="M83" s="48" t="s">
        <v>366</v>
      </c>
      <c r="N83" s="48" t="s">
        <v>663</v>
      </c>
      <c r="Q83" s="48"/>
      <c r="S83" s="52"/>
      <c r="T83" s="48"/>
      <c r="U83" s="48"/>
      <c r="V83" s="47" t="s">
        <v>664</v>
      </c>
    </row>
    <row r="84">
      <c r="A84" s="56" t="s">
        <v>665</v>
      </c>
      <c r="B84" s="42" t="s">
        <v>662</v>
      </c>
      <c r="C84" s="42">
        <v>1024.0</v>
      </c>
      <c r="D84" s="57">
        <v>28.0</v>
      </c>
      <c r="E84" s="53">
        <v>2.0</v>
      </c>
      <c r="F84" s="42" t="s">
        <v>666</v>
      </c>
      <c r="G84" s="42" t="s">
        <v>81</v>
      </c>
      <c r="H84" s="42" t="s">
        <v>81</v>
      </c>
      <c r="I84" s="44" t="s">
        <v>102</v>
      </c>
      <c r="J84" s="44">
        <v>12.0</v>
      </c>
      <c r="K84" s="45">
        <v>30.0</v>
      </c>
      <c r="L84" s="42" t="s">
        <v>81</v>
      </c>
      <c r="M84" s="42" t="s">
        <v>366</v>
      </c>
      <c r="N84" s="42" t="s">
        <v>378</v>
      </c>
      <c r="O84" s="42"/>
      <c r="P84" s="42"/>
      <c r="Q84" s="42"/>
      <c r="R84" s="42" t="s">
        <v>667</v>
      </c>
      <c r="S84" s="46"/>
      <c r="T84" s="42"/>
      <c r="U84" s="42" t="s">
        <v>87</v>
      </c>
      <c r="V84" s="41" t="s">
        <v>668</v>
      </c>
    </row>
    <row r="85">
      <c r="A85" s="47" t="s">
        <v>669</v>
      </c>
      <c r="B85" s="48" t="s">
        <v>662</v>
      </c>
      <c r="C85" s="48">
        <v>6400.0</v>
      </c>
      <c r="D85" s="49">
        <v>35.0</v>
      </c>
      <c r="E85" s="48">
        <v>4.0</v>
      </c>
      <c r="F85" s="58" t="s">
        <v>377</v>
      </c>
      <c r="G85" s="48"/>
      <c r="H85" s="48" t="s">
        <v>81</v>
      </c>
      <c r="I85" s="50" t="s">
        <v>365</v>
      </c>
      <c r="J85" s="50"/>
      <c r="K85" s="51"/>
      <c r="L85" s="48"/>
      <c r="M85" s="48" t="s">
        <v>366</v>
      </c>
      <c r="N85" s="48"/>
      <c r="O85" s="48"/>
      <c r="P85" s="48"/>
      <c r="Q85" s="48"/>
      <c r="R85" s="48" t="s">
        <v>670</v>
      </c>
      <c r="S85" s="52"/>
      <c r="T85" s="48">
        <v>2022.0</v>
      </c>
      <c r="U85" s="48" t="s">
        <v>87</v>
      </c>
      <c r="V85" s="47" t="s">
        <v>671</v>
      </c>
    </row>
    <row r="86">
      <c r="A86" s="56" t="s">
        <v>672</v>
      </c>
      <c r="B86" s="42" t="s">
        <v>662</v>
      </c>
      <c r="C86" s="42">
        <v>6400.0</v>
      </c>
      <c r="D86" s="43">
        <v>35.0</v>
      </c>
      <c r="E86" s="42">
        <v>4.0</v>
      </c>
      <c r="F86" s="42" t="s">
        <v>377</v>
      </c>
      <c r="G86" s="42" t="s">
        <v>81</v>
      </c>
      <c r="H86" s="42" t="s">
        <v>81</v>
      </c>
      <c r="I86" s="44" t="s">
        <v>102</v>
      </c>
      <c r="J86" s="44">
        <v>12.0</v>
      </c>
      <c r="K86" s="45">
        <v>30.0</v>
      </c>
      <c r="L86" s="42" t="s">
        <v>81</v>
      </c>
      <c r="M86" s="42" t="s">
        <v>366</v>
      </c>
      <c r="N86" s="42" t="s">
        <v>378</v>
      </c>
      <c r="O86" s="42"/>
      <c r="P86" s="42"/>
      <c r="Q86" s="42"/>
      <c r="R86" s="42" t="s">
        <v>673</v>
      </c>
      <c r="S86" s="46"/>
      <c r="T86" s="42"/>
      <c r="U86" s="42" t="s">
        <v>87</v>
      </c>
      <c r="V86" s="41" t="s">
        <v>674</v>
      </c>
    </row>
    <row r="87">
      <c r="A87" s="47" t="s">
        <v>550</v>
      </c>
      <c r="B87" s="48" t="s">
        <v>662</v>
      </c>
      <c r="C87" s="48">
        <v>12800.0</v>
      </c>
      <c r="D87" s="49">
        <v>44.99</v>
      </c>
      <c r="E87" s="48">
        <v>8.0</v>
      </c>
      <c r="F87" s="48" t="s">
        <v>377</v>
      </c>
      <c r="G87" s="48" t="s">
        <v>81</v>
      </c>
      <c r="H87" s="48" t="s">
        <v>81</v>
      </c>
      <c r="I87" s="50" t="s">
        <v>102</v>
      </c>
      <c r="J87" s="50">
        <v>12.0</v>
      </c>
      <c r="K87" s="51">
        <v>30.0</v>
      </c>
      <c r="L87" s="48" t="s">
        <v>81</v>
      </c>
      <c r="M87" s="48" t="s">
        <v>366</v>
      </c>
      <c r="N87" s="48" t="s">
        <v>378</v>
      </c>
      <c r="O87" s="48"/>
      <c r="P87" s="48"/>
      <c r="Q87" s="48"/>
      <c r="R87" s="48" t="s">
        <v>673</v>
      </c>
      <c r="S87" s="52"/>
      <c r="T87" s="48"/>
      <c r="U87" s="48" t="s">
        <v>87</v>
      </c>
      <c r="V87" s="47" t="s">
        <v>675</v>
      </c>
    </row>
    <row r="88">
      <c r="A88" s="41" t="str">
        <f>HYPERLINK("https://store.nledshop.com/index.php/nled-pixel-controller-mini-ws2801-ws2811-ws2812-lpd8806-more.html","NLed Pixel Controller Mini")</f>
        <v>NLed Pixel Controller Mini</v>
      </c>
      <c r="B88" s="42" t="s">
        <v>676</v>
      </c>
      <c r="C88" s="42">
        <v>170.0</v>
      </c>
      <c r="D88" s="43">
        <v>13.5</v>
      </c>
      <c r="E88" s="42">
        <v>1.0</v>
      </c>
      <c r="F88" s="53" t="s">
        <v>677</v>
      </c>
      <c r="H88" s="42" t="s">
        <v>157</v>
      </c>
      <c r="I88" s="44" t="s">
        <v>102</v>
      </c>
      <c r="J88" s="44">
        <v>25.0</v>
      </c>
      <c r="K88" s="45"/>
      <c r="L88" s="42" t="s">
        <v>81</v>
      </c>
      <c r="M88" s="42" t="s">
        <v>366</v>
      </c>
      <c r="Q88" s="42"/>
      <c r="S88" s="46"/>
      <c r="T88" s="42"/>
      <c r="U88" s="42" t="s">
        <v>87</v>
      </c>
      <c r="V88" s="41" t="s">
        <v>678</v>
      </c>
    </row>
    <row r="89">
      <c r="A89" s="47" t="str">
        <f>HYPERLINK("https://store.nledshop.com/index.php/nled-pixel-controller-electron-flow-toys-wearables.html","NLed Pixel Controller Electron")</f>
        <v>NLed Pixel Controller Electron</v>
      </c>
      <c r="B89" s="48" t="s">
        <v>676</v>
      </c>
      <c r="C89" s="48">
        <v>170.0</v>
      </c>
      <c r="D89" s="49">
        <v>27.0</v>
      </c>
      <c r="E89" s="48">
        <v>1.0</v>
      </c>
      <c r="F89" s="48" t="s">
        <v>679</v>
      </c>
      <c r="H89" s="48" t="s">
        <v>81</v>
      </c>
      <c r="I89" s="50" t="s">
        <v>102</v>
      </c>
      <c r="J89" s="50">
        <v>24.0</v>
      </c>
      <c r="K89" s="51"/>
      <c r="L89" s="48" t="s">
        <v>81</v>
      </c>
      <c r="M89" s="48" t="s">
        <v>366</v>
      </c>
      <c r="N89" s="48" t="s">
        <v>447</v>
      </c>
      <c r="Q89" s="48"/>
      <c r="R89" s="48" t="s">
        <v>680</v>
      </c>
      <c r="S89" s="52"/>
      <c r="T89" s="48"/>
      <c r="U89" s="48" t="s">
        <v>87</v>
      </c>
      <c r="V89" s="47" t="s">
        <v>681</v>
      </c>
    </row>
    <row r="90">
      <c r="A90" s="41" t="s">
        <v>682</v>
      </c>
      <c r="B90" s="42" t="s">
        <v>683</v>
      </c>
      <c r="C90" s="42">
        <v>1020.0</v>
      </c>
      <c r="D90" s="43">
        <v>69.0</v>
      </c>
      <c r="E90" s="42">
        <v>1.0</v>
      </c>
      <c r="F90" s="42" t="s">
        <v>377</v>
      </c>
      <c r="G90" s="42" t="s">
        <v>157</v>
      </c>
      <c r="H90" s="42"/>
      <c r="I90" s="44" t="s">
        <v>365</v>
      </c>
      <c r="J90" s="44">
        <v>24.0</v>
      </c>
      <c r="K90" s="45">
        <v>5.0</v>
      </c>
      <c r="L90" s="42" t="s">
        <v>81</v>
      </c>
      <c r="M90" s="42" t="s">
        <v>366</v>
      </c>
      <c r="N90" s="42"/>
      <c r="O90" s="42"/>
      <c r="P90" s="42"/>
      <c r="Q90" s="42"/>
      <c r="R90" s="42" t="s">
        <v>684</v>
      </c>
      <c r="S90" s="46"/>
      <c r="T90" s="42"/>
      <c r="U90" s="42" t="s">
        <v>87</v>
      </c>
      <c r="V90" s="41" t="s">
        <v>685</v>
      </c>
    </row>
    <row r="91">
      <c r="A91" s="55" t="s">
        <v>686</v>
      </c>
      <c r="B91" s="58" t="s">
        <v>687</v>
      </c>
      <c r="C91" s="58">
        <v>16384.0</v>
      </c>
      <c r="D91" s="54">
        <v>375.0</v>
      </c>
      <c r="E91" s="58">
        <v>32.0</v>
      </c>
      <c r="F91" s="48" t="s">
        <v>390</v>
      </c>
      <c r="G91" s="58" t="s">
        <v>157</v>
      </c>
      <c r="H91" s="58" t="s">
        <v>157</v>
      </c>
      <c r="I91" s="60" t="s">
        <v>102</v>
      </c>
      <c r="J91" s="60">
        <v>5.0</v>
      </c>
      <c r="K91" s="61"/>
      <c r="L91" s="58" t="s">
        <v>157</v>
      </c>
      <c r="M91" s="58" t="s">
        <v>688</v>
      </c>
      <c r="N91" s="48" t="s">
        <v>447</v>
      </c>
      <c r="O91" s="58"/>
      <c r="P91" s="58" t="s">
        <v>689</v>
      </c>
      <c r="Q91" s="58"/>
      <c r="R91" s="62" t="s">
        <v>690</v>
      </c>
      <c r="S91" s="52"/>
      <c r="T91" s="58"/>
      <c r="U91" s="58"/>
      <c r="V91" s="62"/>
    </row>
    <row r="92">
      <c r="A92" s="41" t="str">
        <f>HYPERLINK(V92,"Falcon F4V3")</f>
        <v>Falcon F4V3</v>
      </c>
      <c r="B92" s="42" t="s">
        <v>691</v>
      </c>
      <c r="C92" s="42">
        <v>4096.0</v>
      </c>
      <c r="D92" s="43">
        <v>125.0</v>
      </c>
      <c r="E92" s="42">
        <v>8.0</v>
      </c>
      <c r="F92" s="42" t="s">
        <v>377</v>
      </c>
      <c r="G92" s="42" t="s">
        <v>391</v>
      </c>
      <c r="I92" s="44" t="s">
        <v>102</v>
      </c>
      <c r="J92" s="44">
        <v>24.0</v>
      </c>
      <c r="K92" s="45"/>
      <c r="L92" s="42" t="s">
        <v>81</v>
      </c>
      <c r="M92" s="42" t="s">
        <v>366</v>
      </c>
      <c r="N92" s="42" t="s">
        <v>367</v>
      </c>
      <c r="Q92" s="42"/>
      <c r="S92" s="46"/>
      <c r="T92" s="42"/>
      <c r="U92" s="42" t="s">
        <v>87</v>
      </c>
      <c r="V92" s="41" t="s">
        <v>692</v>
      </c>
    </row>
    <row r="93">
      <c r="A93" s="48" t="s">
        <v>693</v>
      </c>
      <c r="B93" s="48" t="s">
        <v>691</v>
      </c>
      <c r="C93" s="48">
        <v>16384.0</v>
      </c>
      <c r="D93" s="49">
        <v>200.0</v>
      </c>
      <c r="E93" s="48">
        <v>48.0</v>
      </c>
      <c r="F93" s="48" t="s">
        <v>497</v>
      </c>
      <c r="I93" s="50" t="s">
        <v>365</v>
      </c>
      <c r="J93" s="50"/>
      <c r="K93" s="51"/>
      <c r="L93" s="48" t="s">
        <v>81</v>
      </c>
      <c r="M93" s="48" t="s">
        <v>460</v>
      </c>
      <c r="N93" s="48" t="s">
        <v>694</v>
      </c>
      <c r="Q93" s="48"/>
      <c r="R93" s="48"/>
      <c r="S93" s="52"/>
      <c r="T93" s="48"/>
      <c r="U93" s="48" t="s">
        <v>87</v>
      </c>
      <c r="V93" s="47" t="s">
        <v>695</v>
      </c>
    </row>
    <row r="94">
      <c r="A94" s="41" t="str">
        <f>HYPERLINK(V94,"Falcon F4V3")</f>
        <v>Falcon F4V3</v>
      </c>
      <c r="B94" s="42" t="s">
        <v>691</v>
      </c>
      <c r="C94" s="42">
        <v>16320.0</v>
      </c>
      <c r="D94" s="43">
        <v>200.0</v>
      </c>
      <c r="E94" s="42">
        <v>48.0</v>
      </c>
      <c r="F94" s="42" t="s">
        <v>696</v>
      </c>
      <c r="G94" s="42" t="s">
        <v>391</v>
      </c>
      <c r="I94" s="44" t="s">
        <v>102</v>
      </c>
      <c r="J94" s="44">
        <v>36.0</v>
      </c>
      <c r="K94" s="45">
        <v>60.0</v>
      </c>
      <c r="L94" s="42" t="s">
        <v>81</v>
      </c>
      <c r="M94" s="42" t="s">
        <v>366</v>
      </c>
      <c r="N94" s="42" t="s">
        <v>447</v>
      </c>
      <c r="O94" s="42"/>
      <c r="P94" s="42" t="s">
        <v>62</v>
      </c>
      <c r="Q94" s="42"/>
      <c r="S94" s="46"/>
      <c r="T94" s="42"/>
      <c r="U94" s="42" t="s">
        <v>87</v>
      </c>
      <c r="V94" s="41" t="s">
        <v>697</v>
      </c>
    </row>
    <row r="95">
      <c r="A95" s="48" t="s">
        <v>698</v>
      </c>
      <c r="B95" s="48" t="s">
        <v>691</v>
      </c>
      <c r="C95" s="48">
        <v>16384.0</v>
      </c>
      <c r="D95" s="49">
        <v>275.0</v>
      </c>
      <c r="E95" s="48">
        <v>16.0</v>
      </c>
      <c r="F95" s="48" t="s">
        <v>501</v>
      </c>
      <c r="G95" s="48" t="s">
        <v>699</v>
      </c>
      <c r="I95" s="50" t="s">
        <v>102</v>
      </c>
      <c r="J95" s="50"/>
      <c r="K95" s="51">
        <v>60.0</v>
      </c>
      <c r="L95" s="48"/>
      <c r="M95" s="48"/>
      <c r="N95" s="48"/>
      <c r="O95" s="48"/>
      <c r="P95" s="48"/>
      <c r="Q95" s="48"/>
      <c r="S95" s="52"/>
      <c r="T95" s="48"/>
      <c r="U95" s="48"/>
      <c r="V95" s="55" t="s">
        <v>700</v>
      </c>
    </row>
    <row r="96">
      <c r="A96" s="41" t="s">
        <v>701</v>
      </c>
      <c r="B96" s="42" t="s">
        <v>691</v>
      </c>
      <c r="C96" s="42"/>
      <c r="D96" s="43"/>
      <c r="E96" s="42"/>
      <c r="F96" s="42"/>
      <c r="G96" s="42"/>
      <c r="H96" s="42"/>
      <c r="I96" s="44"/>
      <c r="J96" s="44"/>
      <c r="K96" s="45"/>
      <c r="M96" s="42"/>
      <c r="N96" s="42"/>
      <c r="O96" s="42"/>
      <c r="P96" s="42"/>
      <c r="Q96" s="42"/>
      <c r="R96" s="42"/>
      <c r="S96" s="46"/>
      <c r="T96" s="42"/>
      <c r="U96" s="42"/>
      <c r="V96" s="42"/>
    </row>
    <row r="97">
      <c r="A97" s="55" t="s">
        <v>702</v>
      </c>
      <c r="B97" s="48" t="s">
        <v>703</v>
      </c>
      <c r="C97" s="48">
        <v>8160.0</v>
      </c>
      <c r="D97" s="49">
        <v>450.0</v>
      </c>
      <c r="E97" s="48">
        <v>8.0</v>
      </c>
      <c r="F97" s="48" t="s">
        <v>396</v>
      </c>
      <c r="G97" s="48" t="s">
        <v>93</v>
      </c>
      <c r="H97" s="48" t="s">
        <v>93</v>
      </c>
      <c r="I97" s="48" t="s">
        <v>102</v>
      </c>
      <c r="J97" s="50">
        <v>48.0</v>
      </c>
      <c r="K97" s="65">
        <v>1.8</v>
      </c>
      <c r="L97" s="48" t="s">
        <v>81</v>
      </c>
      <c r="M97" s="48" t="s">
        <v>366</v>
      </c>
      <c r="N97" s="48" t="s">
        <v>704</v>
      </c>
      <c r="O97" s="48"/>
      <c r="P97" s="48" t="s">
        <v>157</v>
      </c>
      <c r="Q97" s="48"/>
      <c r="R97" s="48" t="s">
        <v>705</v>
      </c>
      <c r="S97" s="52"/>
      <c r="T97" s="48">
        <v>2022.0</v>
      </c>
      <c r="U97" s="48" t="s">
        <v>87</v>
      </c>
      <c r="V97" s="47" t="s">
        <v>706</v>
      </c>
    </row>
    <row r="98">
      <c r="A98" s="41" t="str">
        <f>HYPERLINK("http://pixout.lighting/","PixOut Server")</f>
        <v>PixOut Server</v>
      </c>
      <c r="B98" s="42" t="s">
        <v>707</v>
      </c>
      <c r="C98" s="42">
        <v>8192.0</v>
      </c>
      <c r="D98" s="43">
        <v>300.0</v>
      </c>
      <c r="E98" s="42">
        <v>8.0</v>
      </c>
      <c r="F98" s="42" t="s">
        <v>501</v>
      </c>
      <c r="G98" s="42" t="s">
        <v>81</v>
      </c>
      <c r="H98" s="42" t="s">
        <v>81</v>
      </c>
      <c r="I98" s="44" t="s">
        <v>102</v>
      </c>
      <c r="J98" s="44">
        <v>24.0</v>
      </c>
      <c r="K98" s="45"/>
      <c r="L98" s="42" t="s">
        <v>81</v>
      </c>
      <c r="Q98" s="42"/>
      <c r="R98" s="42" t="s">
        <v>708</v>
      </c>
      <c r="S98" s="46"/>
      <c r="T98" s="42"/>
      <c r="U98" s="42" t="s">
        <v>87</v>
      </c>
      <c r="V98" s="41" t="s">
        <v>709</v>
      </c>
    </row>
    <row r="99">
      <c r="A99" s="47" t="s">
        <v>710</v>
      </c>
      <c r="B99" s="48" t="s">
        <v>711</v>
      </c>
      <c r="C99" s="48">
        <v>8192.0</v>
      </c>
      <c r="D99" s="49">
        <v>200.0</v>
      </c>
      <c r="E99" s="48">
        <v>8.0</v>
      </c>
      <c r="F99" s="48" t="s">
        <v>712</v>
      </c>
      <c r="G99" s="48" t="s">
        <v>391</v>
      </c>
      <c r="H99" s="48" t="s">
        <v>81</v>
      </c>
      <c r="I99" s="50" t="s">
        <v>102</v>
      </c>
      <c r="J99" s="50">
        <v>12.0</v>
      </c>
      <c r="K99" s="51">
        <v>40.0</v>
      </c>
      <c r="L99" s="48" t="s">
        <v>81</v>
      </c>
      <c r="M99" s="48" t="s">
        <v>713</v>
      </c>
      <c r="N99" s="48" t="s">
        <v>447</v>
      </c>
      <c r="O99" s="48"/>
      <c r="P99" s="48" t="s">
        <v>62</v>
      </c>
      <c r="Q99" s="48"/>
      <c r="R99" s="48" t="s">
        <v>714</v>
      </c>
      <c r="S99" s="52"/>
      <c r="T99" s="48">
        <v>2021.0</v>
      </c>
      <c r="U99" s="58" t="s">
        <v>380</v>
      </c>
      <c r="V99" s="47" t="s">
        <v>715</v>
      </c>
    </row>
    <row r="100">
      <c r="A100" s="41" t="s">
        <v>716</v>
      </c>
      <c r="B100" s="42" t="s">
        <v>287</v>
      </c>
      <c r="C100" s="42">
        <v>600.0</v>
      </c>
      <c r="D100" s="43">
        <v>191.0</v>
      </c>
      <c r="E100" s="42">
        <v>1.0</v>
      </c>
      <c r="F100" s="42" t="s">
        <v>383</v>
      </c>
      <c r="G100" s="42" t="s">
        <v>81</v>
      </c>
      <c r="H100" s="42" t="s">
        <v>81</v>
      </c>
      <c r="I100" s="44" t="s">
        <v>365</v>
      </c>
      <c r="J100" s="44">
        <v>12.0</v>
      </c>
      <c r="K100" s="45"/>
      <c r="L100" s="42" t="s">
        <v>81</v>
      </c>
      <c r="M100" s="42" t="s">
        <v>366</v>
      </c>
      <c r="N100" s="42" t="s">
        <v>367</v>
      </c>
      <c r="O100" s="42"/>
      <c r="P100" s="42"/>
      <c r="Q100" s="42"/>
      <c r="R100" s="42"/>
      <c r="S100" s="46"/>
      <c r="T100" s="42"/>
      <c r="U100" s="42" t="s">
        <v>87</v>
      </c>
      <c r="V100" s="41" t="s">
        <v>717</v>
      </c>
    </row>
    <row r="101">
      <c r="A101" s="47" t="s">
        <v>718</v>
      </c>
      <c r="B101" s="48" t="s">
        <v>287</v>
      </c>
      <c r="C101" s="48">
        <v>600.0</v>
      </c>
      <c r="D101" s="49">
        <v>221.0</v>
      </c>
      <c r="E101" s="48">
        <v>1.0</v>
      </c>
      <c r="F101" s="48" t="s">
        <v>719</v>
      </c>
      <c r="G101" s="48" t="s">
        <v>81</v>
      </c>
      <c r="H101" s="48" t="s">
        <v>81</v>
      </c>
      <c r="I101" s="50" t="s">
        <v>365</v>
      </c>
      <c r="J101" s="50">
        <v>12.0</v>
      </c>
      <c r="K101" s="51"/>
      <c r="L101" s="48" t="s">
        <v>81</v>
      </c>
      <c r="M101" s="48" t="s">
        <v>366</v>
      </c>
      <c r="N101" s="48" t="s">
        <v>367</v>
      </c>
      <c r="O101" s="48"/>
      <c r="P101" s="48"/>
      <c r="Q101" s="48"/>
      <c r="R101" s="48"/>
      <c r="S101" s="52"/>
      <c r="T101" s="48"/>
      <c r="U101" s="48" t="s">
        <v>87</v>
      </c>
      <c r="V101" s="47" t="s">
        <v>717</v>
      </c>
    </row>
    <row r="102">
      <c r="A102" s="41" t="s">
        <v>720</v>
      </c>
      <c r="B102" s="42" t="s">
        <v>287</v>
      </c>
      <c r="C102" s="42">
        <v>4800.0</v>
      </c>
      <c r="D102" s="43">
        <v>573.0</v>
      </c>
      <c r="E102" s="42">
        <v>8.0</v>
      </c>
      <c r="F102" s="42" t="s">
        <v>396</v>
      </c>
      <c r="G102" s="42" t="s">
        <v>157</v>
      </c>
      <c r="H102" s="42" t="s">
        <v>157</v>
      </c>
      <c r="I102" s="44" t="s">
        <v>365</v>
      </c>
      <c r="J102" s="44"/>
      <c r="K102" s="45"/>
      <c r="L102" s="42" t="s">
        <v>81</v>
      </c>
      <c r="M102" s="42" t="s">
        <v>366</v>
      </c>
      <c r="N102" s="42" t="s">
        <v>367</v>
      </c>
      <c r="O102" s="42"/>
      <c r="P102" s="42"/>
      <c r="Q102" s="42"/>
      <c r="R102" s="42" t="s">
        <v>721</v>
      </c>
      <c r="S102" s="46"/>
      <c r="T102" s="42"/>
      <c r="U102" s="42" t="s">
        <v>87</v>
      </c>
      <c r="V102" s="41" t="s">
        <v>717</v>
      </c>
    </row>
    <row r="103">
      <c r="A103" s="55" t="s">
        <v>722</v>
      </c>
      <c r="B103" s="48" t="s">
        <v>723</v>
      </c>
      <c r="C103" s="48">
        <v>2048.0</v>
      </c>
      <c r="D103" s="49">
        <v>24.99</v>
      </c>
      <c r="E103" s="48">
        <v>2.0</v>
      </c>
      <c r="F103" s="48" t="s">
        <v>62</v>
      </c>
      <c r="G103" s="48" t="s">
        <v>157</v>
      </c>
      <c r="H103" s="48" t="s">
        <v>81</v>
      </c>
      <c r="I103" s="50" t="s">
        <v>102</v>
      </c>
      <c r="J103" s="50">
        <v>24.0</v>
      </c>
      <c r="K103" s="51">
        <v>15.0</v>
      </c>
      <c r="L103" s="48" t="s">
        <v>81</v>
      </c>
      <c r="M103" s="48" t="s">
        <v>724</v>
      </c>
      <c r="N103" s="48" t="s">
        <v>447</v>
      </c>
      <c r="O103" s="48"/>
      <c r="P103" s="48" t="s">
        <v>725</v>
      </c>
      <c r="Q103" s="48" t="s">
        <v>433</v>
      </c>
      <c r="R103" s="48" t="s">
        <v>726</v>
      </c>
      <c r="S103" s="52"/>
      <c r="T103" s="48">
        <v>2019.0</v>
      </c>
      <c r="U103" s="48" t="s">
        <v>87</v>
      </c>
      <c r="V103" s="47" t="s">
        <v>727</v>
      </c>
    </row>
    <row r="104">
      <c r="A104" s="56" t="s">
        <v>728</v>
      </c>
      <c r="B104" s="42" t="s">
        <v>723</v>
      </c>
      <c r="C104" s="53">
        <v>1024.0</v>
      </c>
      <c r="D104" s="57">
        <v>24.99</v>
      </c>
      <c r="E104" s="53">
        <v>1.0</v>
      </c>
      <c r="F104" s="42" t="s">
        <v>729</v>
      </c>
      <c r="G104" s="53" t="s">
        <v>157</v>
      </c>
      <c r="H104" s="53" t="s">
        <v>81</v>
      </c>
      <c r="I104" s="53" t="s">
        <v>365</v>
      </c>
      <c r="J104" s="66">
        <v>5.0</v>
      </c>
      <c r="K104" s="67">
        <v>3.0</v>
      </c>
      <c r="L104" s="53" t="s">
        <v>81</v>
      </c>
      <c r="M104" s="53" t="s">
        <v>730</v>
      </c>
      <c r="N104" s="53" t="s">
        <v>367</v>
      </c>
      <c r="O104" s="53"/>
      <c r="P104" s="53" t="s">
        <v>731</v>
      </c>
      <c r="Q104" s="53" t="s">
        <v>433</v>
      </c>
      <c r="R104" s="53" t="s">
        <v>732</v>
      </c>
      <c r="T104" s="53">
        <v>2022.0</v>
      </c>
      <c r="U104" s="53" t="s">
        <v>87</v>
      </c>
      <c r="V104" s="71" t="s">
        <v>733</v>
      </c>
    </row>
    <row r="105">
      <c r="A105" s="55" t="s">
        <v>734</v>
      </c>
      <c r="B105" s="48" t="s">
        <v>723</v>
      </c>
      <c r="C105" s="48">
        <v>4096.0</v>
      </c>
      <c r="D105" s="49">
        <v>37.5</v>
      </c>
      <c r="E105" s="48">
        <v>4.0</v>
      </c>
      <c r="F105" s="48" t="s">
        <v>377</v>
      </c>
      <c r="G105" s="48" t="s">
        <v>157</v>
      </c>
      <c r="H105" s="48" t="s">
        <v>81</v>
      </c>
      <c r="I105" s="60" t="s">
        <v>102</v>
      </c>
      <c r="J105" s="50">
        <v>24.0</v>
      </c>
      <c r="K105" s="51">
        <v>30.0</v>
      </c>
      <c r="L105" s="48" t="s">
        <v>81</v>
      </c>
      <c r="M105" s="48" t="s">
        <v>724</v>
      </c>
      <c r="N105" s="48" t="s">
        <v>447</v>
      </c>
      <c r="O105" s="48"/>
      <c r="P105" s="48" t="s">
        <v>725</v>
      </c>
      <c r="Q105" s="48" t="s">
        <v>433</v>
      </c>
      <c r="R105" s="48" t="s">
        <v>726</v>
      </c>
      <c r="S105" s="52"/>
      <c r="T105" s="48">
        <v>2020.0</v>
      </c>
      <c r="U105" s="48" t="s">
        <v>87</v>
      </c>
      <c r="V105" s="47" t="s">
        <v>735</v>
      </c>
    </row>
    <row r="106">
      <c r="A106" s="56" t="s">
        <v>736</v>
      </c>
      <c r="B106" s="42" t="s">
        <v>723</v>
      </c>
      <c r="C106" s="42">
        <v>4096.0</v>
      </c>
      <c r="D106" s="57">
        <v>65.0</v>
      </c>
      <c r="E106" s="53">
        <v>8.0</v>
      </c>
      <c r="F106" s="42" t="s">
        <v>377</v>
      </c>
      <c r="G106" s="53" t="s">
        <v>737</v>
      </c>
      <c r="H106" s="42" t="s">
        <v>81</v>
      </c>
      <c r="I106" s="66" t="s">
        <v>102</v>
      </c>
      <c r="J106" s="44">
        <v>24.0</v>
      </c>
      <c r="K106" s="67">
        <v>100.0</v>
      </c>
      <c r="L106" s="42" t="s">
        <v>81</v>
      </c>
      <c r="M106" s="53" t="s">
        <v>738</v>
      </c>
      <c r="N106" s="42" t="s">
        <v>447</v>
      </c>
      <c r="O106" s="53"/>
      <c r="P106" s="53" t="s">
        <v>731</v>
      </c>
      <c r="Q106" s="53" t="s">
        <v>433</v>
      </c>
      <c r="R106" s="53" t="s">
        <v>732</v>
      </c>
      <c r="S106" s="46"/>
      <c r="T106" s="53">
        <v>2022.0</v>
      </c>
      <c r="U106" s="53" t="s">
        <v>87</v>
      </c>
      <c r="V106" s="56" t="s">
        <v>739</v>
      </c>
    </row>
    <row r="107">
      <c r="A107" s="47" t="str">
        <f>HYPERLINK("https://www.rocketlife.com/technology/","LightBoard Mini")</f>
        <v>LightBoard Mini</v>
      </c>
      <c r="B107" s="48" t="s">
        <v>213</v>
      </c>
      <c r="C107" s="48">
        <v>1000.0</v>
      </c>
      <c r="D107" s="49">
        <v>40.0</v>
      </c>
      <c r="E107" s="48">
        <v>1.0</v>
      </c>
      <c r="F107" s="48" t="s">
        <v>377</v>
      </c>
      <c r="I107" s="50" t="s">
        <v>102</v>
      </c>
      <c r="J107" s="50">
        <v>5.0</v>
      </c>
      <c r="K107" s="51"/>
      <c r="L107" s="48" t="s">
        <v>81</v>
      </c>
      <c r="M107" s="48" t="s">
        <v>740</v>
      </c>
      <c r="N107" s="48" t="s">
        <v>447</v>
      </c>
      <c r="Q107" s="48"/>
      <c r="R107" s="48" t="s">
        <v>741</v>
      </c>
      <c r="S107" s="52"/>
      <c r="T107" s="48"/>
      <c r="U107" s="48" t="s">
        <v>380</v>
      </c>
      <c r="V107" s="47" t="s">
        <v>742</v>
      </c>
    </row>
    <row r="108">
      <c r="A108" s="41" t="str">
        <f>HYPERLINK("https://www.rocketlife.com/technology/","LightBox")</f>
        <v>LightBox</v>
      </c>
      <c r="B108" s="42" t="s">
        <v>213</v>
      </c>
      <c r="C108" s="59"/>
      <c r="D108" s="43">
        <v>99.0</v>
      </c>
      <c r="E108" s="42">
        <v>1.0</v>
      </c>
      <c r="F108" s="42" t="s">
        <v>377</v>
      </c>
      <c r="I108" s="44" t="s">
        <v>102</v>
      </c>
      <c r="J108" s="44">
        <v>5.0</v>
      </c>
      <c r="K108" s="45">
        <v>6.0</v>
      </c>
      <c r="L108" s="42" t="s">
        <v>81</v>
      </c>
      <c r="M108" s="42" t="s">
        <v>554</v>
      </c>
      <c r="N108" s="42" t="s">
        <v>447</v>
      </c>
      <c r="Q108" s="42"/>
      <c r="R108" s="42" t="s">
        <v>741</v>
      </c>
      <c r="S108" s="46"/>
      <c r="T108" s="42"/>
      <c r="U108" s="42" t="s">
        <v>380</v>
      </c>
      <c r="V108" s="41" t="s">
        <v>742</v>
      </c>
    </row>
    <row r="109">
      <c r="A109" s="47" t="str">
        <f>HYPERLINK("http://sandevices.com/product/e6804-assembled-tested/","E6804")</f>
        <v>E6804</v>
      </c>
      <c r="B109" s="48" t="s">
        <v>743</v>
      </c>
      <c r="C109" s="48">
        <v>2040.0</v>
      </c>
      <c r="D109" s="49">
        <v>100.0</v>
      </c>
      <c r="E109" s="48">
        <v>4.0</v>
      </c>
      <c r="F109" s="48" t="s">
        <v>377</v>
      </c>
      <c r="G109" s="48" t="s">
        <v>157</v>
      </c>
      <c r="H109" s="48" t="s">
        <v>157</v>
      </c>
      <c r="I109" s="50" t="s">
        <v>102</v>
      </c>
      <c r="J109" s="50">
        <v>12.0</v>
      </c>
      <c r="K109" s="51">
        <v>25.0</v>
      </c>
      <c r="L109" s="48" t="s">
        <v>157</v>
      </c>
      <c r="M109" s="48" t="s">
        <v>366</v>
      </c>
      <c r="N109" s="48" t="s">
        <v>378</v>
      </c>
      <c r="O109" s="48"/>
      <c r="P109" s="48" t="s">
        <v>384</v>
      </c>
      <c r="Q109" s="48"/>
      <c r="S109" s="52"/>
      <c r="T109" s="48"/>
      <c r="U109" s="48"/>
      <c r="V109" s="48" t="s">
        <v>744</v>
      </c>
    </row>
    <row r="110">
      <c r="A110" s="41" t="str">
        <f>HYPERLINK("http://sandevices.com/product/e682-assembled-tested/","E682")</f>
        <v>E682</v>
      </c>
      <c r="B110" s="42" t="s">
        <v>743</v>
      </c>
      <c r="C110" s="42">
        <v>6120.0</v>
      </c>
      <c r="D110" s="43">
        <v>180.0</v>
      </c>
      <c r="E110" s="42">
        <v>16.0</v>
      </c>
      <c r="F110" s="42" t="s">
        <v>745</v>
      </c>
      <c r="G110" s="42" t="s">
        <v>157</v>
      </c>
      <c r="H110" s="42" t="s">
        <v>157</v>
      </c>
      <c r="I110" s="44" t="s">
        <v>102</v>
      </c>
      <c r="J110" s="44">
        <v>24.0</v>
      </c>
      <c r="K110" s="45">
        <v>64.0</v>
      </c>
      <c r="L110" s="42" t="s">
        <v>81</v>
      </c>
      <c r="M110" s="42" t="s">
        <v>366</v>
      </c>
      <c r="N110" s="42" t="s">
        <v>378</v>
      </c>
      <c r="O110" s="42"/>
      <c r="P110" s="42" t="s">
        <v>746</v>
      </c>
      <c r="Q110" s="42"/>
      <c r="S110" s="46"/>
      <c r="T110" s="42"/>
      <c r="U110" s="42"/>
      <c r="V110" s="41" t="s">
        <v>747</v>
      </c>
    </row>
    <row r="111">
      <c r="A111" s="55" t="s">
        <v>748</v>
      </c>
      <c r="B111" s="72" t="s">
        <v>749</v>
      </c>
      <c r="C111" s="48">
        <v>2000.0</v>
      </c>
      <c r="D111" s="49">
        <v>15.99</v>
      </c>
      <c r="E111" s="48">
        <v>1.0</v>
      </c>
      <c r="F111" s="58" t="s">
        <v>425</v>
      </c>
      <c r="G111" s="48"/>
      <c r="H111" s="48" t="s">
        <v>81</v>
      </c>
      <c r="I111" s="50" t="s">
        <v>102</v>
      </c>
      <c r="J111" s="50">
        <v>24.0</v>
      </c>
      <c r="K111" s="51"/>
      <c r="M111" s="48" t="s">
        <v>366</v>
      </c>
      <c r="N111" s="48" t="s">
        <v>367</v>
      </c>
      <c r="O111" s="48"/>
      <c r="P111" s="48"/>
      <c r="Q111" s="48" t="s">
        <v>433</v>
      </c>
      <c r="R111" s="48"/>
      <c r="S111" s="52"/>
      <c r="T111" s="63"/>
      <c r="U111" s="48" t="s">
        <v>87</v>
      </c>
      <c r="V111" s="47" t="s">
        <v>750</v>
      </c>
    </row>
    <row r="112">
      <c r="A112" s="42" t="s">
        <v>751</v>
      </c>
      <c r="B112" s="42" t="s">
        <v>752</v>
      </c>
      <c r="C112" s="42">
        <v>170.0</v>
      </c>
      <c r="D112" s="43">
        <f>IFERROR(__xludf.DUMMYFUNCTION("35*GOOGLEFINANCE(""CURRENCY:GBPUSD"")"),46.998)</f>
        <v>46.998</v>
      </c>
      <c r="E112" s="42">
        <v>1.0</v>
      </c>
      <c r="F112" s="42" t="s">
        <v>377</v>
      </c>
      <c r="G112" s="42" t="s">
        <v>157</v>
      </c>
      <c r="H112" s="42" t="s">
        <v>157</v>
      </c>
      <c r="I112" s="44"/>
      <c r="J112" s="44">
        <v>5.0</v>
      </c>
      <c r="K112" s="45"/>
      <c r="L112" s="42"/>
      <c r="M112" s="42" t="s">
        <v>650</v>
      </c>
      <c r="N112" s="42"/>
      <c r="Q112" s="42"/>
      <c r="S112" s="46"/>
      <c r="T112" s="42"/>
      <c r="U112" s="42" t="s">
        <v>380</v>
      </c>
      <c r="V112" s="41" t="s">
        <v>753</v>
      </c>
    </row>
    <row r="113">
      <c r="A113" s="73" t="s">
        <v>754</v>
      </c>
      <c r="B113" s="48" t="s">
        <v>755</v>
      </c>
      <c r="C113" s="48">
        <v>2720.0</v>
      </c>
      <c r="D113" s="49">
        <v>80.0</v>
      </c>
      <c r="E113" s="48">
        <v>4.0</v>
      </c>
      <c r="F113" s="48" t="s">
        <v>377</v>
      </c>
      <c r="G113" s="48" t="s">
        <v>391</v>
      </c>
      <c r="I113" s="50" t="s">
        <v>365</v>
      </c>
      <c r="J113" s="50">
        <v>24.0</v>
      </c>
      <c r="K113" s="51"/>
      <c r="L113" s="48" t="s">
        <v>81</v>
      </c>
      <c r="M113" s="48" t="s">
        <v>366</v>
      </c>
      <c r="N113" s="48" t="s">
        <v>756</v>
      </c>
      <c r="Q113" s="48"/>
      <c r="R113" s="48" t="s">
        <v>757</v>
      </c>
      <c r="S113" s="52"/>
      <c r="T113" s="63"/>
      <c r="U113" s="48" t="s">
        <v>380</v>
      </c>
      <c r="V113" s="47" t="s">
        <v>758</v>
      </c>
    </row>
    <row r="114">
      <c r="A114" s="74" t="s">
        <v>759</v>
      </c>
      <c r="B114" s="42" t="s">
        <v>752</v>
      </c>
      <c r="C114" s="42">
        <v>680.0</v>
      </c>
      <c r="D114" s="43">
        <v>100.0</v>
      </c>
      <c r="E114" s="42"/>
      <c r="F114" s="42" t="s">
        <v>377</v>
      </c>
      <c r="G114" s="42" t="s">
        <v>157</v>
      </c>
      <c r="H114" s="42" t="s">
        <v>157</v>
      </c>
      <c r="I114" s="44" t="s">
        <v>365</v>
      </c>
      <c r="J114" s="44">
        <v>24.0</v>
      </c>
      <c r="K114" s="45"/>
      <c r="L114" s="42" t="s">
        <v>81</v>
      </c>
      <c r="M114" s="42" t="s">
        <v>366</v>
      </c>
      <c r="N114" s="42" t="s">
        <v>367</v>
      </c>
      <c r="O114" s="42"/>
      <c r="P114" s="42"/>
      <c r="Q114" s="42"/>
      <c r="S114" s="46"/>
      <c r="T114" s="42"/>
      <c r="U114" s="42" t="s">
        <v>380</v>
      </c>
      <c r="V114" s="42"/>
    </row>
    <row r="115">
      <c r="A115" s="75" t="s">
        <v>760</v>
      </c>
      <c r="B115" s="48" t="s">
        <v>752</v>
      </c>
      <c r="C115" s="48">
        <v>2720.0</v>
      </c>
      <c r="D115" s="49">
        <v>140.0</v>
      </c>
      <c r="E115" s="48">
        <v>4.0</v>
      </c>
      <c r="F115" s="48" t="s">
        <v>377</v>
      </c>
      <c r="G115" s="48" t="s">
        <v>157</v>
      </c>
      <c r="H115" s="48" t="s">
        <v>157</v>
      </c>
      <c r="I115" s="50" t="s">
        <v>365</v>
      </c>
      <c r="J115" s="50">
        <v>5.0</v>
      </c>
      <c r="K115" s="51"/>
      <c r="L115" s="48" t="s">
        <v>81</v>
      </c>
      <c r="M115" s="48" t="s">
        <v>650</v>
      </c>
      <c r="N115" s="48" t="s">
        <v>367</v>
      </c>
      <c r="Q115" s="48"/>
      <c r="S115" s="52"/>
      <c r="T115" s="48"/>
      <c r="U115" s="48" t="s">
        <v>380</v>
      </c>
      <c r="V115" s="47" t="s">
        <v>761</v>
      </c>
    </row>
    <row r="116">
      <c r="A116" s="76" t="s">
        <v>762</v>
      </c>
      <c r="B116" s="42" t="s">
        <v>752</v>
      </c>
      <c r="C116" s="42">
        <v>5440.0</v>
      </c>
      <c r="D116" s="43">
        <f>IFERROR(__xludf.DUMMYFUNCTION("200*GOOGLEFINANCE(""CURRENCY:GBPUSD"")"),268.56)</f>
        <v>268.56</v>
      </c>
      <c r="E116" s="42">
        <v>8.0</v>
      </c>
      <c r="F116" s="42" t="s">
        <v>623</v>
      </c>
      <c r="G116" s="42" t="s">
        <v>157</v>
      </c>
      <c r="H116" s="42" t="s">
        <v>157</v>
      </c>
      <c r="I116" s="44"/>
      <c r="J116" s="44">
        <v>24.0</v>
      </c>
      <c r="K116" s="45"/>
      <c r="L116" s="42" t="s">
        <v>81</v>
      </c>
      <c r="M116" s="42" t="s">
        <v>650</v>
      </c>
      <c r="N116" s="42" t="s">
        <v>367</v>
      </c>
      <c r="Q116" s="42"/>
      <c r="S116" s="46"/>
      <c r="T116" s="42"/>
      <c r="U116" s="42" t="s">
        <v>380</v>
      </c>
      <c r="V116" s="41" t="s">
        <v>763</v>
      </c>
    </row>
    <row r="117">
      <c r="A117" s="55" t="s">
        <v>764</v>
      </c>
      <c r="B117" s="55" t="s">
        <v>752</v>
      </c>
      <c r="C117" s="48">
        <v>5440.0</v>
      </c>
      <c r="D117" s="49">
        <v>300.0</v>
      </c>
      <c r="E117" s="48">
        <v>8.0</v>
      </c>
      <c r="F117" s="48" t="s">
        <v>501</v>
      </c>
      <c r="G117" s="48" t="s">
        <v>157</v>
      </c>
      <c r="H117" s="48" t="s">
        <v>157</v>
      </c>
      <c r="I117" s="50" t="s">
        <v>102</v>
      </c>
      <c r="J117" s="50">
        <v>24.0</v>
      </c>
      <c r="K117" s="51"/>
      <c r="L117" s="48" t="s">
        <v>81</v>
      </c>
      <c r="M117" s="48" t="s">
        <v>366</v>
      </c>
      <c r="N117" s="48" t="s">
        <v>765</v>
      </c>
      <c r="O117" s="48"/>
      <c r="P117" s="48" t="s">
        <v>384</v>
      </c>
      <c r="Q117" s="48"/>
      <c r="R117" s="48" t="s">
        <v>766</v>
      </c>
      <c r="S117" s="52"/>
      <c r="T117" s="48">
        <v>2023.0</v>
      </c>
      <c r="U117" s="48" t="s">
        <v>87</v>
      </c>
      <c r="V117" s="47" t="s">
        <v>767</v>
      </c>
    </row>
    <row r="118">
      <c r="A118" s="53" t="s">
        <v>768</v>
      </c>
      <c r="B118" s="77" t="s">
        <v>769</v>
      </c>
      <c r="C118" s="53">
        <v>1024.0</v>
      </c>
      <c r="D118" s="57">
        <v>13.0</v>
      </c>
      <c r="E118" s="53">
        <v>1.0</v>
      </c>
      <c r="F118" s="42" t="s">
        <v>770</v>
      </c>
      <c r="G118" s="53" t="s">
        <v>157</v>
      </c>
      <c r="H118" s="53" t="s">
        <v>771</v>
      </c>
      <c r="I118" s="44"/>
      <c r="J118" s="66">
        <v>12.0</v>
      </c>
      <c r="K118" s="45"/>
      <c r="L118" s="42"/>
      <c r="M118" s="53" t="s">
        <v>655</v>
      </c>
      <c r="N118" s="53" t="s">
        <v>772</v>
      </c>
      <c r="O118" s="53"/>
      <c r="P118" s="53" t="s">
        <v>157</v>
      </c>
      <c r="Q118" s="42"/>
      <c r="R118" s="42"/>
      <c r="S118" s="46"/>
      <c r="T118" s="42"/>
      <c r="U118" s="53" t="s">
        <v>87</v>
      </c>
      <c r="V118" s="53" t="s">
        <v>773</v>
      </c>
    </row>
    <row r="119">
      <c r="A119" s="48" t="s">
        <v>774</v>
      </c>
      <c r="B119" s="78" t="s">
        <v>769</v>
      </c>
      <c r="C119" s="48">
        <v>2048.0</v>
      </c>
      <c r="D119" s="49">
        <v>18.35</v>
      </c>
      <c r="E119" s="48">
        <v>1.0</v>
      </c>
      <c r="F119" s="48" t="s">
        <v>425</v>
      </c>
      <c r="G119" s="48"/>
      <c r="H119" s="48" t="s">
        <v>771</v>
      </c>
      <c r="I119" s="50" t="s">
        <v>102</v>
      </c>
      <c r="J119" s="50">
        <v>24.0</v>
      </c>
      <c r="K119" s="51"/>
      <c r="M119" s="48" t="s">
        <v>655</v>
      </c>
      <c r="N119" s="48" t="s">
        <v>447</v>
      </c>
      <c r="O119" s="48"/>
      <c r="P119" s="48" t="s">
        <v>157</v>
      </c>
      <c r="Q119" s="48"/>
      <c r="S119" s="52"/>
      <c r="T119" s="48"/>
      <c r="U119" s="48" t="s">
        <v>87</v>
      </c>
      <c r="V119" s="48" t="s">
        <v>773</v>
      </c>
    </row>
    <row r="120">
      <c r="A120" s="42" t="s">
        <v>775</v>
      </c>
      <c r="B120" s="77" t="s">
        <v>769</v>
      </c>
      <c r="C120" s="42">
        <v>2048.0</v>
      </c>
      <c r="D120" s="43">
        <v>24.88</v>
      </c>
      <c r="E120" s="42">
        <v>1.0</v>
      </c>
      <c r="F120" s="42" t="s">
        <v>62</v>
      </c>
      <c r="G120" s="42"/>
      <c r="H120" s="42" t="s">
        <v>771</v>
      </c>
      <c r="I120" s="44" t="s">
        <v>102</v>
      </c>
      <c r="J120" s="44">
        <v>24.0</v>
      </c>
      <c r="K120" s="45"/>
      <c r="M120" s="42" t="s">
        <v>655</v>
      </c>
      <c r="N120" s="42" t="s">
        <v>447</v>
      </c>
      <c r="O120" s="42"/>
      <c r="P120" s="42" t="s">
        <v>157</v>
      </c>
      <c r="Q120" s="42"/>
      <c r="S120" s="46"/>
      <c r="T120" s="42"/>
      <c r="U120" s="42" t="s">
        <v>87</v>
      </c>
      <c r="V120" s="42" t="s">
        <v>773</v>
      </c>
    </row>
    <row r="121">
      <c r="A121" s="48" t="s">
        <v>776</v>
      </c>
      <c r="B121" s="78" t="s">
        <v>769</v>
      </c>
      <c r="C121" s="48">
        <v>960.0</v>
      </c>
      <c r="D121" s="49">
        <v>24.88</v>
      </c>
      <c r="E121" s="48">
        <v>1.0</v>
      </c>
      <c r="F121" s="48" t="s">
        <v>62</v>
      </c>
      <c r="G121" s="48"/>
      <c r="H121" s="48" t="s">
        <v>771</v>
      </c>
      <c r="I121" s="50" t="s">
        <v>102</v>
      </c>
      <c r="J121" s="50">
        <v>24.0</v>
      </c>
      <c r="K121" s="51"/>
      <c r="M121" s="48" t="s">
        <v>655</v>
      </c>
      <c r="N121" s="48" t="s">
        <v>447</v>
      </c>
      <c r="O121" s="48"/>
      <c r="P121" s="48" t="s">
        <v>157</v>
      </c>
      <c r="Q121" s="48"/>
      <c r="S121" s="52"/>
      <c r="T121" s="48"/>
      <c r="U121" s="48" t="s">
        <v>87</v>
      </c>
      <c r="V121" s="48" t="s">
        <v>773</v>
      </c>
    </row>
    <row r="122">
      <c r="A122" s="53" t="s">
        <v>777</v>
      </c>
      <c r="B122" s="77" t="s">
        <v>769</v>
      </c>
      <c r="C122" s="42">
        <v>4800.0</v>
      </c>
      <c r="D122" s="43">
        <v>30.0</v>
      </c>
      <c r="E122" s="42">
        <v>8.0</v>
      </c>
      <c r="F122" s="42" t="s">
        <v>377</v>
      </c>
      <c r="G122" s="42"/>
      <c r="H122" s="42" t="s">
        <v>81</v>
      </c>
      <c r="I122" s="44" t="s">
        <v>365</v>
      </c>
      <c r="J122" s="44">
        <v>24.0</v>
      </c>
      <c r="K122" s="45"/>
      <c r="L122" s="42"/>
      <c r="M122" s="42" t="s">
        <v>655</v>
      </c>
      <c r="N122" s="42" t="s">
        <v>367</v>
      </c>
      <c r="O122" s="42"/>
      <c r="P122" s="42"/>
      <c r="Q122" s="42"/>
      <c r="R122" s="42" t="s">
        <v>778</v>
      </c>
      <c r="S122" s="46"/>
      <c r="T122" s="42">
        <v>2020.0</v>
      </c>
      <c r="U122" s="42" t="s">
        <v>87</v>
      </c>
      <c r="V122" s="56" t="s">
        <v>779</v>
      </c>
    </row>
    <row r="123">
      <c r="A123" s="47" t="str">
        <f>HYPERLINK("https://theatrewireless.com/shop/rc4magic-s3/dmxpix/","RC4Magic S3 Pixel Driver")</f>
        <v>RC4Magic S3 Pixel Driver</v>
      </c>
      <c r="B123" s="48" t="s">
        <v>780</v>
      </c>
      <c r="C123" s="48">
        <v>1000.0</v>
      </c>
      <c r="D123" s="49">
        <v>399.0</v>
      </c>
      <c r="E123" s="48">
        <v>2.0</v>
      </c>
      <c r="F123" s="48" t="s">
        <v>551</v>
      </c>
      <c r="G123" s="48" t="s">
        <v>81</v>
      </c>
      <c r="H123" s="48" t="s">
        <v>81</v>
      </c>
      <c r="I123" s="50" t="s">
        <v>102</v>
      </c>
      <c r="J123" s="50">
        <v>35.0</v>
      </c>
      <c r="K123" s="51"/>
      <c r="L123" s="48" t="s">
        <v>81</v>
      </c>
      <c r="M123" s="48" t="s">
        <v>488</v>
      </c>
      <c r="N123" s="48" t="s">
        <v>447</v>
      </c>
      <c r="O123" s="48"/>
      <c r="P123" s="48" t="s">
        <v>781</v>
      </c>
      <c r="Q123" s="48"/>
      <c r="R123" s="48" t="s">
        <v>782</v>
      </c>
      <c r="S123" s="52"/>
      <c r="T123" s="48"/>
      <c r="U123" s="48" t="s">
        <v>87</v>
      </c>
      <c r="V123" s="47" t="s">
        <v>783</v>
      </c>
    </row>
    <row r="124">
      <c r="A124" s="41" t="str">
        <f>HYPERLINK("https://shop.ulrichradig.de/Module/Light-Control-DMX/4096-Kanal-LED-Strip-Controller.html","Uli LED control")</f>
        <v>Uli LED control</v>
      </c>
      <c r="B124" s="42" t="s">
        <v>784</v>
      </c>
      <c r="C124" s="42">
        <v>1360.0</v>
      </c>
      <c r="D124" s="43">
        <v>99.0</v>
      </c>
      <c r="E124" s="42">
        <v>8.0</v>
      </c>
      <c r="F124" s="42" t="s">
        <v>377</v>
      </c>
      <c r="I124" s="44" t="s">
        <v>102</v>
      </c>
      <c r="J124" s="44">
        <v>12.0</v>
      </c>
      <c r="K124" s="45"/>
      <c r="Q124" s="42"/>
      <c r="S124" s="46"/>
      <c r="T124" s="42"/>
      <c r="U124" s="42"/>
      <c r="V124" s="56" t="s">
        <v>785</v>
      </c>
    </row>
    <row r="125">
      <c r="A125" s="47" t="s">
        <v>786</v>
      </c>
      <c r="B125" s="48" t="s">
        <v>787</v>
      </c>
      <c r="C125" s="48">
        <v>1000.0</v>
      </c>
      <c r="D125" s="49">
        <v>330.0</v>
      </c>
      <c r="E125" s="48">
        <v>4.0</v>
      </c>
      <c r="F125" s="48" t="s">
        <v>477</v>
      </c>
      <c r="G125" s="48" t="s">
        <v>157</v>
      </c>
      <c r="I125" s="50" t="s">
        <v>365</v>
      </c>
      <c r="J125" s="50">
        <v>12.0</v>
      </c>
      <c r="K125" s="51">
        <v>18.0</v>
      </c>
      <c r="L125" s="48" t="s">
        <v>81</v>
      </c>
      <c r="M125" s="48" t="s">
        <v>788</v>
      </c>
      <c r="O125" s="48"/>
      <c r="P125" s="48" t="s">
        <v>157</v>
      </c>
      <c r="Q125" s="48"/>
      <c r="R125" s="48" t="s">
        <v>789</v>
      </c>
      <c r="S125" s="52"/>
      <c r="T125" s="48"/>
      <c r="U125" s="48" t="s">
        <v>87</v>
      </c>
      <c r="V125" s="47" t="s">
        <v>790</v>
      </c>
    </row>
    <row r="126">
      <c r="A126" s="56" t="s">
        <v>791</v>
      </c>
      <c r="B126" s="53" t="s">
        <v>792</v>
      </c>
      <c r="C126" s="53">
        <v>4096.0</v>
      </c>
      <c r="D126" s="57">
        <v>349.0</v>
      </c>
      <c r="E126" s="53">
        <v>4.0</v>
      </c>
      <c r="F126" s="53" t="s">
        <v>377</v>
      </c>
      <c r="G126" s="53" t="s">
        <v>157</v>
      </c>
      <c r="H126" s="53" t="s">
        <v>157</v>
      </c>
      <c r="I126" s="66" t="s">
        <v>102</v>
      </c>
      <c r="J126" s="66">
        <v>24.0</v>
      </c>
      <c r="K126" s="67">
        <v>20.0</v>
      </c>
      <c r="L126" s="53" t="s">
        <v>81</v>
      </c>
      <c r="M126" s="42" t="s">
        <v>366</v>
      </c>
      <c r="N126" s="42" t="s">
        <v>447</v>
      </c>
      <c r="O126" s="53" t="s">
        <v>793</v>
      </c>
      <c r="P126" s="53" t="s">
        <v>157</v>
      </c>
      <c r="Q126" s="42"/>
      <c r="R126" s="53" t="s">
        <v>794</v>
      </c>
      <c r="S126" s="46"/>
      <c r="T126" s="42"/>
      <c r="U126" s="42"/>
      <c r="V126" s="42"/>
    </row>
    <row r="127">
      <c r="A127" s="55" t="s">
        <v>795</v>
      </c>
      <c r="B127" s="48" t="s">
        <v>796</v>
      </c>
      <c r="C127" s="48">
        <v>40000.0</v>
      </c>
      <c r="D127" s="49">
        <v>189.0</v>
      </c>
      <c r="E127" s="48">
        <v>32.0</v>
      </c>
      <c r="F127" s="48" t="s">
        <v>797</v>
      </c>
      <c r="G127" s="48" t="s">
        <v>391</v>
      </c>
      <c r="H127" s="48" t="s">
        <v>81</v>
      </c>
      <c r="I127" s="50" t="s">
        <v>365</v>
      </c>
      <c r="J127" s="50">
        <v>12.0</v>
      </c>
      <c r="K127" s="51"/>
      <c r="L127" s="48"/>
      <c r="M127" s="48" t="s">
        <v>366</v>
      </c>
      <c r="N127" s="48" t="s">
        <v>798</v>
      </c>
      <c r="O127" s="48"/>
      <c r="P127" s="48" t="s">
        <v>799</v>
      </c>
      <c r="Q127" s="48"/>
      <c r="R127" s="48"/>
      <c r="S127" s="52"/>
      <c r="T127" s="48">
        <v>2022.0</v>
      </c>
      <c r="U127" s="48" t="s">
        <v>87</v>
      </c>
      <c r="V127" s="47" t="s">
        <v>800</v>
      </c>
    </row>
    <row r="128">
      <c r="A128" s="41" t="s">
        <v>801</v>
      </c>
      <c r="B128" s="42" t="s">
        <v>802</v>
      </c>
      <c r="C128" s="42">
        <v>4800.0</v>
      </c>
      <c r="D128" s="43">
        <v>45.0</v>
      </c>
      <c r="E128" s="42">
        <v>8.0</v>
      </c>
      <c r="F128" s="42" t="s">
        <v>377</v>
      </c>
      <c r="G128" s="42"/>
      <c r="H128" s="42" t="s">
        <v>157</v>
      </c>
      <c r="I128" s="44" t="s">
        <v>365</v>
      </c>
      <c r="J128" s="44">
        <v>12.0</v>
      </c>
      <c r="K128" s="45"/>
      <c r="M128" s="42" t="s">
        <v>366</v>
      </c>
      <c r="N128" s="42" t="s">
        <v>367</v>
      </c>
      <c r="O128" s="42"/>
      <c r="P128" s="42"/>
      <c r="Q128" s="42"/>
      <c r="R128" s="42"/>
      <c r="S128" s="46"/>
      <c r="T128" s="42">
        <v>2021.0</v>
      </c>
      <c r="U128" s="42" t="s">
        <v>87</v>
      </c>
      <c r="V128" s="41" t="s">
        <v>803</v>
      </c>
    </row>
    <row r="129">
      <c r="A129" s="47" t="s">
        <v>804</v>
      </c>
      <c r="B129" s="48" t="s">
        <v>805</v>
      </c>
      <c r="C129" s="48">
        <v>48000.0</v>
      </c>
      <c r="D129" s="49">
        <v>275.0</v>
      </c>
      <c r="E129" s="48">
        <v>32.0</v>
      </c>
      <c r="F129" s="48" t="s">
        <v>623</v>
      </c>
      <c r="G129" s="48" t="s">
        <v>391</v>
      </c>
      <c r="H129" s="48" t="s">
        <v>81</v>
      </c>
      <c r="I129" s="50" t="s">
        <v>365</v>
      </c>
      <c r="J129" s="50">
        <v>24.0</v>
      </c>
      <c r="K129" s="51"/>
      <c r="L129" s="48" t="s">
        <v>81</v>
      </c>
      <c r="M129" s="48" t="s">
        <v>366</v>
      </c>
      <c r="N129" s="48" t="s">
        <v>447</v>
      </c>
      <c r="O129" s="48"/>
      <c r="P129" s="48" t="s">
        <v>806</v>
      </c>
      <c r="Q129" s="48"/>
      <c r="S129" s="52"/>
      <c r="T129" s="48"/>
      <c r="U129" s="48" t="s">
        <v>87</v>
      </c>
      <c r="V129" s="47" t="s">
        <v>807</v>
      </c>
    </row>
    <row r="130">
      <c r="A130" s="41" t="s">
        <v>808</v>
      </c>
      <c r="B130" s="42" t="s">
        <v>809</v>
      </c>
      <c r="C130" s="42">
        <v>5440.0</v>
      </c>
      <c r="D130" s="57">
        <v>142.0</v>
      </c>
      <c r="E130" s="42">
        <v>4.0</v>
      </c>
      <c r="F130" s="42" t="s">
        <v>377</v>
      </c>
      <c r="I130" s="44" t="s">
        <v>102</v>
      </c>
      <c r="J130" s="44">
        <v>24.0</v>
      </c>
      <c r="K130" s="45">
        <v>8.0</v>
      </c>
      <c r="L130" s="42" t="s">
        <v>81</v>
      </c>
      <c r="M130" s="42" t="s">
        <v>366</v>
      </c>
      <c r="N130" s="42" t="s">
        <v>447</v>
      </c>
      <c r="O130" s="42"/>
      <c r="P130" s="42"/>
      <c r="Q130" s="42"/>
      <c r="R130" s="42" t="s">
        <v>810</v>
      </c>
      <c r="S130" s="46"/>
      <c r="T130" s="42">
        <v>2021.0</v>
      </c>
      <c r="U130" s="42" t="s">
        <v>87</v>
      </c>
      <c r="V130" s="41" t="s">
        <v>811</v>
      </c>
    </row>
    <row r="131">
      <c r="A131" s="48" t="s">
        <v>812</v>
      </c>
      <c r="C131" s="48">
        <v>2048.0</v>
      </c>
      <c r="D131" s="49">
        <v>28.0</v>
      </c>
      <c r="E131" s="48">
        <v>1.0</v>
      </c>
      <c r="F131" s="48" t="s">
        <v>813</v>
      </c>
      <c r="G131" s="48" t="s">
        <v>391</v>
      </c>
      <c r="H131" s="48" t="s">
        <v>81</v>
      </c>
      <c r="I131" s="50" t="s">
        <v>102</v>
      </c>
      <c r="J131" s="50">
        <v>24.0</v>
      </c>
      <c r="K131" s="51"/>
      <c r="M131" s="48" t="s">
        <v>366</v>
      </c>
      <c r="N131" s="48" t="s">
        <v>447</v>
      </c>
      <c r="O131" s="48"/>
      <c r="P131" s="48" t="s">
        <v>157</v>
      </c>
      <c r="Q131" s="48"/>
      <c r="S131" s="52"/>
      <c r="T131" s="48"/>
      <c r="U131" s="48"/>
      <c r="V131" s="48" t="s">
        <v>773</v>
      </c>
    </row>
    <row r="132">
      <c r="A132" s="41" t="str">
        <f>HYPERLINK("http://doityourselfchristmas.com/forums/showthread.php?53296-FPP-PB16-Pixel-Controlleri","PB16")</f>
        <v>PB16</v>
      </c>
      <c r="C132" s="42">
        <v>22400.0</v>
      </c>
      <c r="D132" s="43">
        <v>130.0</v>
      </c>
      <c r="E132" s="42">
        <v>32.0</v>
      </c>
      <c r="F132" s="42" t="s">
        <v>377</v>
      </c>
      <c r="I132" s="44" t="s">
        <v>365</v>
      </c>
      <c r="J132" s="44">
        <v>24.0</v>
      </c>
      <c r="K132" s="45" t="s">
        <v>814</v>
      </c>
      <c r="L132" s="42" t="s">
        <v>81</v>
      </c>
      <c r="M132" s="42" t="s">
        <v>366</v>
      </c>
      <c r="O132" s="42"/>
      <c r="P132" s="42" t="s">
        <v>586</v>
      </c>
      <c r="Q132" s="42"/>
      <c r="R132" s="42"/>
      <c r="S132" s="46"/>
      <c r="T132" s="42"/>
      <c r="U132" s="42"/>
      <c r="V132" s="41" t="s">
        <v>815</v>
      </c>
    </row>
    <row r="133">
      <c r="A133" s="48"/>
      <c r="C133" s="48"/>
      <c r="D133" s="49"/>
      <c r="E133" s="48"/>
      <c r="F133" s="48"/>
      <c r="G133" s="48"/>
      <c r="H133" s="48"/>
      <c r="I133" s="50"/>
      <c r="J133" s="50"/>
      <c r="K133" s="51"/>
      <c r="M133" s="48"/>
      <c r="N133" s="48"/>
      <c r="O133" s="48"/>
      <c r="P133" s="48"/>
      <c r="Q133" s="48"/>
      <c r="S133" s="52"/>
      <c r="T133" s="48"/>
      <c r="U133" s="48"/>
      <c r="V133" s="48"/>
    </row>
  </sheetData>
  <autoFilter ref="$F$1:$F$133">
    <sortState ref="F1:F133">
      <sortCondition ref="F1:F133"/>
    </sortState>
  </autoFilter>
  <customSheetViews>
    <customSheetView guid="{96F1598F-5F2F-4304-83A0-FB0FCC97E81A}" filter="1" showAutoFilter="1">
      <autoFilter ref="$A$2:$V$132"/>
    </customSheetView>
    <customSheetView guid="{1E800208-9010-4FD4-B323-22E2D2F2953A}" filter="1" showAutoFilter="1">
      <autoFilter ref="$A$2:$V$101"/>
    </customSheetView>
    <customSheetView guid="{C7462378-F9DE-4871-911C-33967FC0C576}" filter="1" showAutoFilter="1">
      <autoFilter ref="$A$2:$V$95"/>
    </customSheetView>
    <customSheetView guid="{A3F6E28C-A007-4254-B957-4C0D19A040E1}" filter="1" showAutoFilter="1">
      <autoFilter ref="$A$3:$V$100"/>
    </customSheetView>
    <customSheetView guid="{580044AE-5DD0-4303-8543-37BAAB861665}" filter="1" showAutoFilter="1">
      <autoFilter ref="$A$3:$V$98"/>
    </customSheetView>
  </customSheetViews>
  <dataValidations>
    <dataValidation type="decimal" operator="greaterThan" allowBlank="1" showDropDown="1" showInputMessage="1" prompt="Enter a single positive voltage" sqref="J2:J133">
      <formula1>0.0</formula1>
    </dataValidation>
    <dataValidation type="decimal" operator="greaterThan" allowBlank="1" showDropDown="1" showInputMessage="1" prompt="Enter a number greater than 0" sqref="C2:C14 C16:C103 S2:T103 C105:C133 S105:T133">
      <formula1>0.0</formula1>
    </dataValidation>
    <dataValidation type="list" allowBlank="1" sqref="I2:I103 I105:I133">
      <formula1>"Async,Clocked,Both"</formula1>
    </dataValidation>
    <dataValidation type="decimal" operator="greaterThan" allowBlank="1" showDropDown="1" showInputMessage="1" prompt="Enter a positive number of USD" sqref="D2:D86 D88:D133">
      <formula1>0.0</formula1>
    </dataValidation>
    <dataValidation type="decimal" operator="greaterThanOrEqual" allowBlank="1" showDropDown="1" showInputMessage="1" prompt="Enter a positive current (in amps)" sqref="K2:K133">
      <formula1>0.0</formula1>
    </dataValidation>
    <dataValidation type="list" allowBlank="1" sqref="U2:U103 U105:U133">
      <formula1>"Active,End of Life,Discontinued,Pre-Order"</formula1>
    </dataValidation>
  </dataValidations>
  <hyperlinks>
    <hyperlink r:id="rId4" ref="Q1"/>
    <hyperlink r:id="rId5" ref="A2"/>
    <hyperlink r:id="rId6" ref="V2"/>
    <hyperlink r:id="rId7" ref="R3"/>
    <hyperlink r:id="rId8" ref="V3"/>
    <hyperlink r:id="rId9" ref="V6"/>
    <hyperlink r:id="rId10" ref="A7"/>
    <hyperlink r:id="rId11" ref="V7"/>
    <hyperlink r:id="rId12" ref="A8"/>
    <hyperlink r:id="rId13" ref="V8"/>
    <hyperlink r:id="rId14" ref="V9"/>
    <hyperlink r:id="rId15" ref="V10"/>
    <hyperlink r:id="rId16" ref="V11"/>
    <hyperlink r:id="rId17" ref="A12"/>
    <hyperlink r:id="rId18" ref="V12"/>
    <hyperlink r:id="rId19" ref="A13"/>
    <hyperlink r:id="rId20" ref="V13"/>
    <hyperlink r:id="rId21" ref="A14"/>
    <hyperlink r:id="rId22" ref="V14"/>
    <hyperlink r:id="rId23" ref="V15"/>
    <hyperlink r:id="rId24" ref="A16"/>
    <hyperlink r:id="rId25" ref="V16"/>
    <hyperlink r:id="rId26" ref="V17"/>
    <hyperlink r:id="rId27" ref="A18"/>
    <hyperlink r:id="rId28" ref="V18"/>
    <hyperlink r:id="rId29" ref="A19"/>
    <hyperlink r:id="rId30" ref="V19"/>
    <hyperlink r:id="rId31" ref="V20"/>
    <hyperlink r:id="rId32" ref="A21"/>
    <hyperlink r:id="rId33" ref="V21"/>
    <hyperlink r:id="rId34" ref="A22"/>
    <hyperlink r:id="rId35" ref="V22"/>
    <hyperlink r:id="rId36" ref="V23"/>
    <hyperlink r:id="rId37" ref="A24"/>
    <hyperlink r:id="rId38" ref="V24"/>
    <hyperlink r:id="rId39" ref="A25"/>
    <hyperlink r:id="rId40" ref="V25"/>
    <hyperlink r:id="rId41" ref="A26"/>
    <hyperlink r:id="rId42" ref="V26"/>
    <hyperlink r:id="rId43" ref="A27"/>
    <hyperlink r:id="rId44" ref="V27"/>
    <hyperlink r:id="rId45" ref="V28"/>
    <hyperlink r:id="rId46" ref="V29"/>
    <hyperlink r:id="rId47" ref="V30"/>
    <hyperlink r:id="rId48" ref="A34"/>
    <hyperlink r:id="rId49" ref="V34"/>
    <hyperlink r:id="rId50" ref="V35"/>
    <hyperlink r:id="rId51" ref="A37"/>
    <hyperlink r:id="rId52" ref="V37"/>
    <hyperlink r:id="rId53" ref="A38"/>
    <hyperlink r:id="rId54" ref="V38"/>
    <hyperlink r:id="rId55" ref="V39"/>
    <hyperlink r:id="rId56" ref="A40"/>
    <hyperlink r:id="rId57" ref="V40"/>
    <hyperlink r:id="rId58" ref="A41"/>
    <hyperlink r:id="rId59" ref="R41"/>
    <hyperlink r:id="rId60" ref="V41"/>
    <hyperlink r:id="rId61" ref="V42"/>
    <hyperlink r:id="rId62" ref="A43"/>
    <hyperlink r:id="rId63" ref="V43"/>
    <hyperlink r:id="rId64" ref="V44"/>
    <hyperlink r:id="rId65" ref="A45"/>
    <hyperlink r:id="rId66" ref="V45"/>
    <hyperlink r:id="rId67" ref="V46"/>
    <hyperlink r:id="rId68" ref="A47"/>
    <hyperlink r:id="rId69" ref="V47"/>
    <hyperlink r:id="rId70" ref="A48"/>
    <hyperlink r:id="rId71" ref="V48"/>
    <hyperlink r:id="rId72" ref="A49"/>
    <hyperlink r:id="rId73" ref="V49"/>
    <hyperlink r:id="rId74" ref="A50"/>
    <hyperlink r:id="rId75" ref="V50"/>
    <hyperlink r:id="rId76" ref="V51"/>
    <hyperlink r:id="rId77" ref="V52"/>
    <hyperlink r:id="rId78" ref="A54"/>
    <hyperlink r:id="rId79" ref="V54"/>
    <hyperlink r:id="rId80" ref="A55"/>
    <hyperlink r:id="rId81" location="/" ref="V55"/>
    <hyperlink r:id="rId82" ref="A56"/>
    <hyperlink r:id="rId83" ref="V56"/>
    <hyperlink r:id="rId84" ref="A57"/>
    <hyperlink r:id="rId85" ref="V57"/>
    <hyperlink r:id="rId86" ref="A58"/>
    <hyperlink r:id="rId87" ref="V58"/>
    <hyperlink r:id="rId88" ref="A59"/>
    <hyperlink r:id="rId89" ref="V59"/>
    <hyperlink r:id="rId90" ref="A61"/>
    <hyperlink r:id="rId91" ref="A62"/>
    <hyperlink r:id="rId92" ref="V62"/>
    <hyperlink r:id="rId93" ref="A63"/>
    <hyperlink r:id="rId94" ref="A64"/>
    <hyperlink r:id="rId95" ref="V64"/>
    <hyperlink r:id="rId96" ref="A65"/>
    <hyperlink r:id="rId97" ref="V65"/>
    <hyperlink r:id="rId98" ref="A66"/>
    <hyperlink r:id="rId99" ref="V66"/>
    <hyperlink r:id="rId100" ref="A67"/>
    <hyperlink r:id="rId101" ref="V67"/>
    <hyperlink r:id="rId102" ref="A68"/>
    <hyperlink r:id="rId103" ref="V68"/>
    <hyperlink r:id="rId104" ref="A69"/>
    <hyperlink r:id="rId105" ref="V69"/>
    <hyperlink r:id="rId106" ref="A70"/>
    <hyperlink r:id="rId107" ref="V70"/>
    <hyperlink r:id="rId108" ref="A71"/>
    <hyperlink r:id="rId109" ref="V71"/>
    <hyperlink r:id="rId110" ref="A72"/>
    <hyperlink r:id="rId111" ref="V72"/>
    <hyperlink r:id="rId112" ref="V73"/>
    <hyperlink r:id="rId113" ref="A74"/>
    <hyperlink r:id="rId114" ref="R74"/>
    <hyperlink r:id="rId115" ref="V74"/>
    <hyperlink r:id="rId116" ref="A75"/>
    <hyperlink r:id="rId117" ref="R75"/>
    <hyperlink r:id="rId118" ref="V75"/>
    <hyperlink r:id="rId119" ref="A76"/>
    <hyperlink r:id="rId120" ref="R76"/>
    <hyperlink r:id="rId121" ref="V76"/>
    <hyperlink r:id="rId122" ref="A77"/>
    <hyperlink r:id="rId123" ref="R77"/>
    <hyperlink r:id="rId124" ref="V77"/>
    <hyperlink r:id="rId125" ref="A78"/>
    <hyperlink r:id="rId126" ref="R78"/>
    <hyperlink r:id="rId127" ref="V78"/>
    <hyperlink r:id="rId128" ref="V79"/>
    <hyperlink r:id="rId129" ref="A80"/>
    <hyperlink r:id="rId130" ref="V80"/>
    <hyperlink r:id="rId131" ref="A82"/>
    <hyperlink r:id="rId132" ref="B82"/>
    <hyperlink r:id="rId133" ref="A83"/>
    <hyperlink r:id="rId134" ref="V83"/>
    <hyperlink r:id="rId135" location="!/Raspberry-Pi-Pixel-HAT-Controller-Dual-Output-5v-12v/p/228404281" ref="A84"/>
    <hyperlink r:id="rId136" location="!/WLED-5v-12V-SD-Card-WiFi-EspArtStick-pixel-controller/p/170368862/category=0" ref="V84"/>
    <hyperlink r:id="rId137" ref="A85"/>
    <hyperlink r:id="rId138" ref="V85"/>
    <hyperlink r:id="rId139" location="!/Raspberry-Pi-Pixel-HAT-Controller-Dual-Output-5v-12v/p/228404281" ref="A86"/>
    <hyperlink r:id="rId140" location="!/M4-PI-Raspberry-Pi-4-Port-Pixel-controller/p/468426786/category=0" ref="V86"/>
    <hyperlink r:id="rId141" location="!/M8-PI-Raspberry-Pi-8-Port-Pixel-controller/p/471859299/category=0" ref="A87"/>
    <hyperlink r:id="rId142" location="!/M8-PI-Raspberry-Pi-8-Port-Pixel-controller/p/471859299/category=0" ref="V87"/>
    <hyperlink r:id="rId143" ref="V88"/>
    <hyperlink r:id="rId144" ref="V89"/>
    <hyperlink r:id="rId145" ref="A90"/>
    <hyperlink r:id="rId146" ref="V90"/>
    <hyperlink r:id="rId147" ref="A91"/>
    <hyperlink r:id="rId148" ref="V92"/>
    <hyperlink r:id="rId149" ref="V93"/>
    <hyperlink r:id="rId150" ref="V94"/>
    <hyperlink r:id="rId151" ref="V95"/>
    <hyperlink r:id="rId152" ref="A96"/>
    <hyperlink r:id="rId153" ref="A97"/>
    <hyperlink r:id="rId154" ref="V97"/>
    <hyperlink r:id="rId155" ref="V98"/>
    <hyperlink r:id="rId156" ref="A99"/>
    <hyperlink r:id="rId157" ref="V99"/>
    <hyperlink r:id="rId158" ref="A100"/>
    <hyperlink r:id="rId159" ref="V100"/>
    <hyperlink r:id="rId160" ref="A101"/>
    <hyperlink r:id="rId161" ref="V101"/>
    <hyperlink r:id="rId162" ref="A102"/>
    <hyperlink r:id="rId163" ref="V102"/>
    <hyperlink r:id="rId164" ref="A103"/>
    <hyperlink r:id="rId165" ref="V103"/>
    <hyperlink r:id="rId166" ref="A104"/>
    <hyperlink r:id="rId167" ref="V104"/>
    <hyperlink r:id="rId168" ref="A105"/>
    <hyperlink r:id="rId169" ref="V105"/>
    <hyperlink r:id="rId170" ref="A106"/>
    <hyperlink r:id="rId171" ref="V106"/>
    <hyperlink r:id="rId172" ref="V107"/>
    <hyperlink r:id="rId173" ref="V108"/>
    <hyperlink r:id="rId174" ref="V110"/>
    <hyperlink r:id="rId175" ref="A111"/>
    <hyperlink r:id="rId176" ref="B111"/>
    <hyperlink r:id="rId177" ref="V111"/>
    <hyperlink r:id="rId178" ref="V112"/>
    <hyperlink r:id="rId179" ref="V113"/>
    <hyperlink r:id="rId180" ref="V115"/>
    <hyperlink r:id="rId181" ref="V116"/>
    <hyperlink r:id="rId182" ref="A117"/>
    <hyperlink r:id="rId183" ref="B117"/>
    <hyperlink r:id="rId184" ref="V117"/>
    <hyperlink r:id="rId185" ref="B118"/>
    <hyperlink r:id="rId186" ref="B119"/>
    <hyperlink r:id="rId187" ref="B120"/>
    <hyperlink r:id="rId188" ref="B121"/>
    <hyperlink r:id="rId189" ref="B122"/>
    <hyperlink r:id="rId190" ref="V122"/>
    <hyperlink r:id="rId191" ref="V123"/>
    <hyperlink r:id="rId192" ref="V124"/>
    <hyperlink r:id="rId193" ref="A125"/>
    <hyperlink r:id="rId194" ref="V125"/>
    <hyperlink r:id="rId195" ref="A126"/>
    <hyperlink r:id="rId196" ref="A127"/>
    <hyperlink r:id="rId197" ref="V127"/>
    <hyperlink r:id="rId198" ref="A128"/>
    <hyperlink r:id="rId199" ref="V128"/>
    <hyperlink r:id="rId200" ref="A129"/>
    <hyperlink r:id="rId201" ref="V129"/>
    <hyperlink r:id="rId202" ref="A130"/>
    <hyperlink r:id="rId203" ref="V130"/>
    <hyperlink r:id="rId204" ref="V132"/>
  </hyperlinks>
  <printOptions gridLines="1" horizontalCentered="1"/>
  <pageMargins bottom="0.75" footer="0.0" header="0.0" left="0.7" right="0.7" top="0.75"/>
  <pageSetup fitToHeight="0" paperSize="8" cellComments="atEnd" orientation="landscape" pageOrder="overThenDown"/>
  <drawing r:id="rId205"/>
  <legacyDrawing r:id="rId20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5"/>
    <col customWidth="1" min="2" max="2" width="17.0"/>
    <col customWidth="1" min="3" max="3" width="10.75"/>
    <col customWidth="1" min="4" max="4" width="10.63"/>
    <col customWidth="1" min="5" max="5" width="10.88"/>
    <col customWidth="1" min="6" max="6" width="14.0"/>
    <col customWidth="1" min="7" max="7" width="13.38"/>
    <col customWidth="1" min="8" max="8" width="10.88"/>
    <col customWidth="1" min="9" max="10" width="12.75"/>
    <col customWidth="1" min="11" max="11" width="8.5"/>
    <col customWidth="1" min="12" max="12" width="8.88"/>
    <col customWidth="1" min="13" max="14" width="14.0"/>
    <col customWidth="1" min="15" max="15" width="15.5"/>
    <col customWidth="1" min="16" max="16" width="17.25"/>
    <col customWidth="1" min="17" max="17" width="8.88"/>
    <col customWidth="1" min="18" max="18" width="12.25"/>
    <col customWidth="1" min="19" max="19" width="15.0"/>
    <col customWidth="1" min="20" max="20" width="16.63"/>
    <col customWidth="1" min="21" max="21" width="11.0"/>
    <col customWidth="1" min="22" max="22" width="63.88"/>
    <col customWidth="1" min="23" max="23" width="57.38"/>
    <col customWidth="1" min="24" max="24" width="18.38"/>
    <col customWidth="1" min="25" max="26" width="62.75"/>
  </cols>
  <sheetData>
    <row r="1">
      <c r="B1" s="79" t="s">
        <v>816</v>
      </c>
      <c r="C1" s="79" t="s">
        <v>817</v>
      </c>
      <c r="D1" s="79" t="s">
        <v>504</v>
      </c>
      <c r="E1" s="79" t="s">
        <v>818</v>
      </c>
      <c r="F1" s="79" t="s">
        <v>819</v>
      </c>
      <c r="G1" s="79" t="s">
        <v>820</v>
      </c>
      <c r="H1" s="80" t="s">
        <v>821</v>
      </c>
      <c r="I1" s="79" t="s">
        <v>822</v>
      </c>
      <c r="J1" s="81" t="s">
        <v>823</v>
      </c>
      <c r="K1" s="79" t="s">
        <v>824</v>
      </c>
      <c r="L1" s="79" t="s">
        <v>825</v>
      </c>
      <c r="M1" s="82" t="s">
        <v>826</v>
      </c>
      <c r="N1" s="79" t="s">
        <v>827</v>
      </c>
      <c r="O1" s="83" t="s">
        <v>828</v>
      </c>
      <c r="P1" s="84" t="s">
        <v>829</v>
      </c>
      <c r="Q1" s="79" t="s">
        <v>830</v>
      </c>
      <c r="R1" s="79" t="s">
        <v>831</v>
      </c>
      <c r="S1" s="79" t="s">
        <v>832</v>
      </c>
      <c r="T1" s="79" t="s">
        <v>833</v>
      </c>
      <c r="U1" s="79" t="s">
        <v>834</v>
      </c>
      <c r="V1" s="79" t="s">
        <v>835</v>
      </c>
      <c r="W1" s="79" t="s">
        <v>836</v>
      </c>
      <c r="X1" s="79" t="s">
        <v>837</v>
      </c>
      <c r="Y1" s="79" t="s">
        <v>838</v>
      </c>
      <c r="Z1" s="79" t="s">
        <v>839</v>
      </c>
    </row>
    <row r="2">
      <c r="A2" s="29" t="str">
        <f>HYPERLINK("http://neon-world.com/en/product_detail.php?cid=60&amp;id=171","APA104")</f>
        <v>APA104</v>
      </c>
      <c r="B2" s="85" t="s">
        <v>840</v>
      </c>
      <c r="C2" s="86">
        <v>5.0</v>
      </c>
      <c r="D2" s="85" t="s">
        <v>157</v>
      </c>
      <c r="E2" s="86">
        <v>5.0</v>
      </c>
      <c r="F2" s="87">
        <v>1200.0</v>
      </c>
      <c r="G2" s="85">
        <v>8.0</v>
      </c>
      <c r="H2" s="88">
        <v>800000.0</v>
      </c>
      <c r="I2" s="89">
        <v>24.0</v>
      </c>
      <c r="J2" s="90">
        <f t="shared" ref="J2:J10" si="1">if(AND(I2&lt;&gt;"",H2&lt;&gt;""),H2/I2,"")</f>
        <v>33333.33333</v>
      </c>
      <c r="K2" s="91">
        <v>3.5</v>
      </c>
      <c r="L2" s="86">
        <v>5.0</v>
      </c>
      <c r="M2" s="92">
        <f t="shared" ref="M2:M36" si="2">E2*N2</f>
        <v>100</v>
      </c>
      <c r="N2" s="93">
        <v>20.0</v>
      </c>
      <c r="O2" s="93">
        <v>1.0</v>
      </c>
      <c r="P2" s="94" t="s">
        <v>841</v>
      </c>
      <c r="Q2" s="85">
        <v>4.0</v>
      </c>
      <c r="R2" s="85" t="s">
        <v>842</v>
      </c>
      <c r="S2" s="85" t="s">
        <v>157</v>
      </c>
      <c r="T2" s="85"/>
      <c r="U2" s="95">
        <v>2013.0</v>
      </c>
      <c r="V2" s="9" t="s">
        <v>843</v>
      </c>
      <c r="W2" s="9"/>
      <c r="X2" s="9" t="s">
        <v>844</v>
      </c>
      <c r="Y2" s="13" t="str">
        <f>HYPERLINK("http://neon-world.com/en/product_detail.php?cid=60&amp;id=171","http://neon-world.com/en/product_detail.php?cid=60&amp;id=171")</f>
        <v>http://neon-world.com/en/product_detail.php?cid=60&amp;id=171</v>
      </c>
      <c r="Z2" s="13" t="s">
        <v>845</v>
      </c>
    </row>
    <row r="3">
      <c r="A3" s="29" t="s">
        <v>846</v>
      </c>
      <c r="B3" s="85" t="s">
        <v>847</v>
      </c>
      <c r="C3" s="86">
        <v>5.0</v>
      </c>
      <c r="D3" s="85" t="s">
        <v>157</v>
      </c>
      <c r="E3" s="86">
        <v>5.0</v>
      </c>
      <c r="F3" s="87">
        <v>1200.0</v>
      </c>
      <c r="G3" s="85">
        <v>8.0</v>
      </c>
      <c r="H3" s="96">
        <v>800000.0</v>
      </c>
      <c r="I3" s="97">
        <v>24.0</v>
      </c>
      <c r="J3" s="98">
        <f t="shared" si="1"/>
        <v>33333.33333</v>
      </c>
      <c r="K3" s="91">
        <v>3.4</v>
      </c>
      <c r="L3" s="99">
        <f>E3+0.5</f>
        <v>5.5</v>
      </c>
      <c r="M3" s="92">
        <f t="shared" si="2"/>
        <v>100</v>
      </c>
      <c r="N3" s="100">
        <v>20.0</v>
      </c>
      <c r="O3" s="101">
        <v>1.0</v>
      </c>
      <c r="P3" s="94" t="s">
        <v>848</v>
      </c>
      <c r="Q3" s="85">
        <v>4.0</v>
      </c>
      <c r="R3" s="85" t="s">
        <v>842</v>
      </c>
      <c r="S3" s="85" t="s">
        <v>157</v>
      </c>
      <c r="T3" s="102"/>
      <c r="U3" s="95">
        <v>2015.0</v>
      </c>
      <c r="V3" s="9" t="s">
        <v>849</v>
      </c>
      <c r="W3" s="15"/>
      <c r="X3" s="9" t="s">
        <v>850</v>
      </c>
      <c r="Y3" s="23" t="s">
        <v>851</v>
      </c>
      <c r="Z3" s="20"/>
    </row>
    <row r="4">
      <c r="A4" s="29" t="s">
        <v>852</v>
      </c>
      <c r="B4" s="85"/>
      <c r="C4" s="86" t="s">
        <v>853</v>
      </c>
      <c r="D4" s="85" t="s">
        <v>157</v>
      </c>
      <c r="E4" s="86">
        <v>12.0</v>
      </c>
      <c r="F4" s="87">
        <v>8000.0</v>
      </c>
      <c r="G4" s="85">
        <v>8.0</v>
      </c>
      <c r="H4" s="88">
        <v>800000.0</v>
      </c>
      <c r="I4" s="89">
        <v>24.0</v>
      </c>
      <c r="J4" s="103">
        <f t="shared" si="1"/>
        <v>33333.33333</v>
      </c>
      <c r="K4" s="91"/>
      <c r="L4" s="86"/>
      <c r="M4" s="92">
        <f t="shared" si="2"/>
        <v>210</v>
      </c>
      <c r="N4" s="100">
        <v>17.5</v>
      </c>
      <c r="O4" s="100"/>
      <c r="P4" s="94" t="s">
        <v>854</v>
      </c>
      <c r="Q4" s="85"/>
      <c r="R4" s="85" t="s">
        <v>842</v>
      </c>
      <c r="S4" s="85" t="s">
        <v>81</v>
      </c>
      <c r="T4" s="102"/>
      <c r="U4" s="95"/>
      <c r="V4" s="9" t="s">
        <v>855</v>
      </c>
      <c r="W4" s="15"/>
      <c r="X4" s="22" t="s">
        <v>856</v>
      </c>
      <c r="Y4" s="13" t="s">
        <v>857</v>
      </c>
      <c r="Z4" s="13" t="s">
        <v>858</v>
      </c>
    </row>
    <row r="5">
      <c r="A5" s="29" t="str">
        <f>HYPERLINK("http://www.normandled.com/upload/201805/GS8208%20LED%20Datasheet.pdf","GS8208")</f>
        <v>GS8208</v>
      </c>
      <c r="B5" s="85" t="s">
        <v>840</v>
      </c>
      <c r="C5" s="86">
        <v>12.0</v>
      </c>
      <c r="D5" s="85" t="s">
        <v>157</v>
      </c>
      <c r="E5" s="86">
        <v>12.0</v>
      </c>
      <c r="F5" s="87">
        <v>8000.0</v>
      </c>
      <c r="G5" s="85">
        <v>8.0</v>
      </c>
      <c r="H5" s="88">
        <v>800000.0</v>
      </c>
      <c r="I5" s="89">
        <v>24.0</v>
      </c>
      <c r="J5" s="90">
        <f t="shared" si="1"/>
        <v>33333.33333</v>
      </c>
      <c r="K5" s="91">
        <v>3.5</v>
      </c>
      <c r="L5" s="86">
        <v>5.0</v>
      </c>
      <c r="M5" s="92">
        <f t="shared" si="2"/>
        <v>120</v>
      </c>
      <c r="N5" s="100">
        <v>10.0</v>
      </c>
      <c r="O5" s="93">
        <v>2.5</v>
      </c>
      <c r="P5" s="104" t="s">
        <v>854</v>
      </c>
      <c r="Q5" s="85">
        <v>6.0</v>
      </c>
      <c r="R5" s="85" t="s">
        <v>842</v>
      </c>
      <c r="S5" s="85" t="s">
        <v>81</v>
      </c>
      <c r="T5" s="102"/>
      <c r="U5" s="95">
        <v>2018.0</v>
      </c>
      <c r="V5" s="9" t="s">
        <v>859</v>
      </c>
      <c r="W5" s="15"/>
      <c r="X5" s="22" t="s">
        <v>860</v>
      </c>
      <c r="Y5" s="13" t="str">
        <f>HYPERLINK("http://www.normandled.com/upload/201805/GS8208%20LED%20Datasheet.pdf","http://www.normandled.com/upload/201805/GS8208%20LED%20Datasheet.pdf")</f>
        <v>http://www.normandled.com/upload/201805/GS8208%20LED%20Datasheet.pdf</v>
      </c>
      <c r="Z5" s="13" t="s">
        <v>861</v>
      </c>
    </row>
    <row r="6">
      <c r="A6" s="29" t="str">
        <f>HYPERLINK("http://addressable-led.com/UploadFile/upi/file/20190318/LC8808-LED.pdf","LC8808B")</f>
        <v>LC8808B</v>
      </c>
      <c r="B6" s="85" t="s">
        <v>862</v>
      </c>
      <c r="C6" s="86">
        <v>12.0</v>
      </c>
      <c r="D6" s="85" t="s">
        <v>157</v>
      </c>
      <c r="E6" s="86">
        <v>5.0</v>
      </c>
      <c r="F6" s="87">
        <v>8000.0</v>
      </c>
      <c r="G6" s="85">
        <v>8.0</v>
      </c>
      <c r="H6" s="88">
        <v>800000.0</v>
      </c>
      <c r="I6" s="89">
        <v>24.0</v>
      </c>
      <c r="J6" s="90">
        <f t="shared" si="1"/>
        <v>33333.33333</v>
      </c>
      <c r="K6" s="91">
        <v>4.0</v>
      </c>
      <c r="L6" s="86">
        <f>C6+0.5</f>
        <v>12.5</v>
      </c>
      <c r="M6" s="92">
        <f t="shared" si="2"/>
        <v>65</v>
      </c>
      <c r="N6" s="101">
        <v>13.0</v>
      </c>
      <c r="O6" s="101">
        <v>2.5</v>
      </c>
      <c r="P6" s="104" t="s">
        <v>854</v>
      </c>
      <c r="Q6" s="85">
        <v>6.0</v>
      </c>
      <c r="R6" s="85"/>
      <c r="S6" s="85" t="s">
        <v>81</v>
      </c>
      <c r="T6" s="85"/>
      <c r="U6" s="95"/>
      <c r="V6" s="9" t="s">
        <v>863</v>
      </c>
      <c r="W6" s="105"/>
      <c r="X6" s="9" t="s">
        <v>864</v>
      </c>
      <c r="Y6" s="13" t="s">
        <v>865</v>
      </c>
      <c r="Z6" s="22"/>
    </row>
    <row r="7">
      <c r="A7" s="5" t="s">
        <v>866</v>
      </c>
      <c r="B7" s="85" t="s">
        <v>840</v>
      </c>
      <c r="C7" s="86">
        <v>12.0</v>
      </c>
      <c r="D7" s="85" t="s">
        <v>157</v>
      </c>
      <c r="E7" s="99">
        <v>5.0</v>
      </c>
      <c r="F7" s="87">
        <v>8000.0</v>
      </c>
      <c r="G7" s="85">
        <v>8.0</v>
      </c>
      <c r="H7" s="88">
        <v>800000.0</v>
      </c>
      <c r="I7" s="97">
        <v>24.0</v>
      </c>
      <c r="J7" s="90">
        <f t="shared" si="1"/>
        <v>33333.33333</v>
      </c>
      <c r="K7" s="91">
        <v>3.5</v>
      </c>
      <c r="L7" s="99">
        <v>5.0</v>
      </c>
      <c r="M7" s="92">
        <f t="shared" si="2"/>
        <v>45</v>
      </c>
      <c r="N7" s="100">
        <v>9.0</v>
      </c>
      <c r="O7" s="93">
        <v>2.0</v>
      </c>
      <c r="P7" s="104" t="s">
        <v>854</v>
      </c>
      <c r="Q7" s="85">
        <v>6.0</v>
      </c>
      <c r="R7" s="85" t="s">
        <v>867</v>
      </c>
      <c r="S7" s="85" t="s">
        <v>81</v>
      </c>
      <c r="T7" s="102"/>
      <c r="U7" s="95">
        <v>2018.0</v>
      </c>
      <c r="V7" s="9" t="s">
        <v>868</v>
      </c>
      <c r="W7" s="9"/>
      <c r="X7" s="9" t="s">
        <v>850</v>
      </c>
      <c r="Y7" s="13" t="s">
        <v>869</v>
      </c>
      <c r="Z7" s="9"/>
    </row>
    <row r="8">
      <c r="A8" s="29" t="str">
        <f>HYPERLINK("https://cdn.instructables.com/ORIG/FW0/YN1X/IHDUL683/FW0YN1XIHDUL683.pdf","PL9823")</f>
        <v>PL9823</v>
      </c>
      <c r="B8" s="85" t="s">
        <v>840</v>
      </c>
      <c r="C8" s="86">
        <v>6.0</v>
      </c>
      <c r="D8" s="85" t="s">
        <v>157</v>
      </c>
      <c r="E8" s="99">
        <v>5.0</v>
      </c>
      <c r="F8" s="106">
        <v>800.0</v>
      </c>
      <c r="G8" s="85">
        <v>8.0</v>
      </c>
      <c r="H8" s="96">
        <v>800000.0</v>
      </c>
      <c r="I8" s="97">
        <v>24.0</v>
      </c>
      <c r="J8" s="98">
        <f t="shared" si="1"/>
        <v>33333.33333</v>
      </c>
      <c r="K8" s="91">
        <v>3.5</v>
      </c>
      <c r="L8" s="99">
        <v>5.0</v>
      </c>
      <c r="M8" s="92">
        <f t="shared" si="2"/>
        <v>0</v>
      </c>
      <c r="N8" s="93"/>
      <c r="O8" s="93"/>
      <c r="P8" s="94" t="s">
        <v>870</v>
      </c>
      <c r="Q8" s="85">
        <v>4.0</v>
      </c>
      <c r="R8" s="85" t="s">
        <v>842</v>
      </c>
      <c r="S8" s="95" t="s">
        <v>157</v>
      </c>
      <c r="T8" s="102"/>
      <c r="U8" s="95">
        <v>2014.0</v>
      </c>
      <c r="V8" s="9" t="s">
        <v>871</v>
      </c>
      <c r="W8" s="30" t="s">
        <v>872</v>
      </c>
      <c r="X8" s="9" t="s">
        <v>873</v>
      </c>
      <c r="Y8" s="30" t="s">
        <v>874</v>
      </c>
      <c r="Z8" s="9"/>
    </row>
    <row r="9">
      <c r="A9" s="5" t="s">
        <v>875</v>
      </c>
      <c r="B9" s="85" t="s">
        <v>876</v>
      </c>
      <c r="C9" s="86">
        <v>5.0</v>
      </c>
      <c r="D9" s="85" t="s">
        <v>157</v>
      </c>
      <c r="E9" s="86">
        <v>5.0</v>
      </c>
      <c r="F9" s="87">
        <v>1100.0</v>
      </c>
      <c r="G9" s="85">
        <v>8.0</v>
      </c>
      <c r="H9" s="88">
        <v>800000.0</v>
      </c>
      <c r="I9" s="89">
        <v>24.0</v>
      </c>
      <c r="J9" s="98">
        <f t="shared" si="1"/>
        <v>33333.33333</v>
      </c>
      <c r="K9" s="91">
        <v>3.4</v>
      </c>
      <c r="L9" s="86">
        <v>5.0</v>
      </c>
      <c r="M9" s="92">
        <f t="shared" si="2"/>
        <v>100</v>
      </c>
      <c r="N9" s="100">
        <v>20.0</v>
      </c>
      <c r="O9" s="100">
        <v>1.0</v>
      </c>
      <c r="P9" s="104" t="s">
        <v>854</v>
      </c>
      <c r="Q9" s="85">
        <v>4.0</v>
      </c>
      <c r="R9" s="85" t="s">
        <v>842</v>
      </c>
      <c r="S9" s="95" t="s">
        <v>157</v>
      </c>
      <c r="T9" s="85"/>
      <c r="U9" s="95">
        <v>2019.0</v>
      </c>
      <c r="V9" s="9" t="s">
        <v>877</v>
      </c>
      <c r="W9" s="15"/>
      <c r="X9" s="9" t="s">
        <v>878</v>
      </c>
      <c r="Y9" s="30" t="s">
        <v>879</v>
      </c>
      <c r="Z9" s="9"/>
    </row>
    <row r="10">
      <c r="A10" s="29" t="str">
        <f>HYPERLINK("https://www.pololu.com/file/0J1233/sk6812_datasheet.pdf","SK6812")</f>
        <v>SK6812</v>
      </c>
      <c r="B10" s="85" t="s">
        <v>880</v>
      </c>
      <c r="C10" s="86">
        <v>5.0</v>
      </c>
      <c r="D10" s="85" t="s">
        <v>157</v>
      </c>
      <c r="E10" s="86">
        <v>5.2</v>
      </c>
      <c r="F10" s="87">
        <v>1100.0</v>
      </c>
      <c r="G10" s="85">
        <v>8.0</v>
      </c>
      <c r="H10" s="96">
        <v>800000.0</v>
      </c>
      <c r="I10" s="97">
        <v>24.0</v>
      </c>
      <c r="J10" s="98">
        <f t="shared" si="1"/>
        <v>33333.33333</v>
      </c>
      <c r="K10" s="107">
        <v>3.4</v>
      </c>
      <c r="L10" s="99">
        <v>5.0</v>
      </c>
      <c r="M10" s="92">
        <f t="shared" si="2"/>
        <v>104</v>
      </c>
      <c r="N10" s="100">
        <v>20.0</v>
      </c>
      <c r="O10" s="100">
        <v>1.0</v>
      </c>
      <c r="P10" s="94" t="s">
        <v>881</v>
      </c>
      <c r="Q10" s="85">
        <v>4.0</v>
      </c>
      <c r="R10" s="85" t="s">
        <v>842</v>
      </c>
      <c r="S10" s="95" t="s">
        <v>157</v>
      </c>
      <c r="T10" s="85"/>
      <c r="U10" s="95">
        <v>2013.0</v>
      </c>
      <c r="V10" s="9" t="s">
        <v>882</v>
      </c>
      <c r="W10" s="15"/>
      <c r="X10" s="9" t="s">
        <v>878</v>
      </c>
      <c r="Y10" s="30" t="s">
        <v>883</v>
      </c>
      <c r="Z10" s="13" t="s">
        <v>884</v>
      </c>
    </row>
    <row r="11">
      <c r="A11" s="108" t="s">
        <v>885</v>
      </c>
      <c r="B11" s="85"/>
      <c r="C11" s="86">
        <v>5.0</v>
      </c>
      <c r="D11" s="85" t="s">
        <v>157</v>
      </c>
      <c r="E11" s="86"/>
      <c r="F11" s="87">
        <v>1200.0</v>
      </c>
      <c r="G11" s="85">
        <v>8.0</v>
      </c>
      <c r="H11" s="88">
        <v>800000.0</v>
      </c>
      <c r="I11" s="89">
        <v>24.0</v>
      </c>
      <c r="J11" s="98"/>
      <c r="K11" s="107"/>
      <c r="L11" s="99"/>
      <c r="M11" s="92">
        <f t="shared" si="2"/>
        <v>0</v>
      </c>
      <c r="N11" s="100"/>
      <c r="O11" s="100"/>
      <c r="P11" s="94" t="s">
        <v>854</v>
      </c>
      <c r="Q11" s="85"/>
      <c r="R11" s="85"/>
      <c r="S11" s="95" t="s">
        <v>157</v>
      </c>
      <c r="T11" s="85"/>
      <c r="U11" s="95"/>
      <c r="V11" s="9"/>
      <c r="W11" s="15"/>
      <c r="X11" s="9"/>
      <c r="Y11" s="9"/>
      <c r="Z11" s="13" t="s">
        <v>886</v>
      </c>
    </row>
    <row r="12" ht="16.5" customHeight="1">
      <c r="A12" s="108" t="s">
        <v>887</v>
      </c>
      <c r="B12" s="85"/>
      <c r="C12" s="86">
        <v>12.0</v>
      </c>
      <c r="D12" s="85" t="s">
        <v>157</v>
      </c>
      <c r="E12" s="86"/>
      <c r="F12" s="87">
        <v>1200.0</v>
      </c>
      <c r="G12" s="85">
        <v>8.0</v>
      </c>
      <c r="H12" s="88">
        <v>800000.0</v>
      </c>
      <c r="I12" s="89">
        <v>24.0</v>
      </c>
      <c r="J12" s="98"/>
      <c r="K12" s="107"/>
      <c r="L12" s="99"/>
      <c r="M12" s="92">
        <f t="shared" si="2"/>
        <v>0</v>
      </c>
      <c r="N12" s="100"/>
      <c r="O12" s="100"/>
      <c r="P12" s="94" t="s">
        <v>854</v>
      </c>
      <c r="Q12" s="85"/>
      <c r="R12" s="85"/>
      <c r="S12" s="95" t="s">
        <v>157</v>
      </c>
      <c r="T12" s="85"/>
      <c r="U12" s="95"/>
      <c r="V12" s="9"/>
      <c r="W12" s="15"/>
      <c r="X12" s="9"/>
      <c r="Y12" s="9"/>
      <c r="Z12" s="13" t="s">
        <v>886</v>
      </c>
    </row>
    <row r="13" ht="16.5" customHeight="1">
      <c r="A13" s="29" t="str">
        <f>HYPERLINK("https://cdn-shop.adafruit.com/datasheets/WS2812.pdf","WS2812")</f>
        <v>WS2812</v>
      </c>
      <c r="B13" s="85"/>
      <c r="C13" s="86">
        <v>5.0</v>
      </c>
      <c r="D13" s="85" t="s">
        <v>157</v>
      </c>
      <c r="E13" s="99">
        <v>5.0</v>
      </c>
      <c r="F13" s="87">
        <v>2000.0</v>
      </c>
      <c r="G13" s="85">
        <v>8.0</v>
      </c>
      <c r="H13" s="96">
        <v>800000.0</v>
      </c>
      <c r="I13" s="97">
        <v>24.0</v>
      </c>
      <c r="J13" s="109" t="s">
        <v>770</v>
      </c>
      <c r="K13" s="91">
        <v>3.0</v>
      </c>
      <c r="L13" s="99">
        <v>5.0</v>
      </c>
      <c r="M13" s="92">
        <f t="shared" si="2"/>
        <v>92.5</v>
      </c>
      <c r="N13" s="100">
        <v>18.5</v>
      </c>
      <c r="O13" s="93">
        <v>0.7</v>
      </c>
      <c r="P13" s="94" t="s">
        <v>888</v>
      </c>
      <c r="Q13" s="85">
        <v>4.0</v>
      </c>
      <c r="R13" s="85" t="s">
        <v>842</v>
      </c>
      <c r="S13" s="85" t="s">
        <v>157</v>
      </c>
      <c r="T13" s="85"/>
      <c r="U13" s="95">
        <v>2012.0</v>
      </c>
      <c r="V13" s="9" t="s">
        <v>889</v>
      </c>
      <c r="W13" s="15"/>
      <c r="X13" s="22" t="s">
        <v>890</v>
      </c>
      <c r="Y13" s="30" t="s">
        <v>891</v>
      </c>
      <c r="Z13" s="13" t="s">
        <v>892</v>
      </c>
    </row>
    <row r="14" ht="16.5" customHeight="1">
      <c r="A14" s="5" t="s">
        <v>893</v>
      </c>
      <c r="B14" s="85" t="s">
        <v>840</v>
      </c>
      <c r="C14" s="86">
        <v>5.0</v>
      </c>
      <c r="D14" s="85" t="s">
        <v>157</v>
      </c>
      <c r="E14" s="99">
        <v>5.0</v>
      </c>
      <c r="F14" s="106">
        <v>2000.0</v>
      </c>
      <c r="G14" s="85">
        <v>8.0</v>
      </c>
      <c r="H14" s="96">
        <v>800000.0</v>
      </c>
      <c r="I14" s="97">
        <v>24.0</v>
      </c>
      <c r="J14" s="98">
        <f t="shared" ref="J14:J28" si="3">if(AND(I14&lt;&gt;"",H14&lt;&gt;""),H14/I14,"")</f>
        <v>33333.33333</v>
      </c>
      <c r="K14" s="91">
        <v>3.0</v>
      </c>
      <c r="L14" s="99">
        <v>5.0</v>
      </c>
      <c r="M14" s="92">
        <f t="shared" si="2"/>
        <v>90</v>
      </c>
      <c r="N14" s="100">
        <v>18.0</v>
      </c>
      <c r="O14" s="100">
        <v>0.7</v>
      </c>
      <c r="P14" s="104" t="s">
        <v>854</v>
      </c>
      <c r="Q14" s="85">
        <v>6.0</v>
      </c>
      <c r="R14" s="85" t="s">
        <v>842</v>
      </c>
      <c r="S14" s="85" t="s">
        <v>81</v>
      </c>
      <c r="T14" s="85"/>
      <c r="U14" s="95">
        <v>2016.0</v>
      </c>
      <c r="V14" s="9" t="s">
        <v>894</v>
      </c>
      <c r="W14" s="15"/>
      <c r="X14" s="22" t="s">
        <v>895</v>
      </c>
      <c r="Y14" s="23" t="s">
        <v>896</v>
      </c>
      <c r="Z14" s="13" t="s">
        <v>897</v>
      </c>
    </row>
    <row r="15">
      <c r="A15" s="5" t="s">
        <v>898</v>
      </c>
      <c r="B15" s="85" t="s">
        <v>840</v>
      </c>
      <c r="C15" s="86">
        <v>12.0</v>
      </c>
      <c r="D15" s="85" t="s">
        <v>157</v>
      </c>
      <c r="E15" s="86">
        <v>12.0</v>
      </c>
      <c r="F15" s="87">
        <v>2000.0</v>
      </c>
      <c r="G15" s="85">
        <v>8.0</v>
      </c>
      <c r="H15" s="96">
        <v>800000.0</v>
      </c>
      <c r="I15" s="97">
        <v>24.0</v>
      </c>
      <c r="J15" s="98">
        <f t="shared" si="3"/>
        <v>33333.33333</v>
      </c>
      <c r="K15" s="91">
        <v>3.5</v>
      </c>
      <c r="L15" s="99">
        <v>5.0</v>
      </c>
      <c r="M15" s="92">
        <f t="shared" si="2"/>
        <v>120</v>
      </c>
      <c r="N15" s="100">
        <v>10.0</v>
      </c>
      <c r="O15" s="100">
        <v>2.1</v>
      </c>
      <c r="P15" s="104" t="s">
        <v>854</v>
      </c>
      <c r="Q15" s="85">
        <v>6.0</v>
      </c>
      <c r="R15" s="85" t="s">
        <v>842</v>
      </c>
      <c r="S15" s="85" t="s">
        <v>81</v>
      </c>
      <c r="T15" s="85"/>
      <c r="U15" s="95">
        <v>2018.0</v>
      </c>
      <c r="V15" s="9" t="s">
        <v>899</v>
      </c>
      <c r="W15" s="15"/>
      <c r="X15" s="22" t="s">
        <v>900</v>
      </c>
      <c r="Y15" s="13" t="s">
        <v>901</v>
      </c>
      <c r="Z15" s="13" t="s">
        <v>902</v>
      </c>
    </row>
    <row r="16">
      <c r="A16" s="29" t="str">
        <f>HYPERLINK("http://www.world-semi.com/Certifications/details-121-4.html","WS2851")</f>
        <v>WS2851</v>
      </c>
      <c r="B16" s="85" t="s">
        <v>840</v>
      </c>
      <c r="C16" s="86">
        <v>12.0</v>
      </c>
      <c r="D16" s="85" t="s">
        <v>157</v>
      </c>
      <c r="E16" s="86">
        <v>5.0</v>
      </c>
      <c r="F16" s="87">
        <v>2000.0</v>
      </c>
      <c r="G16" s="85">
        <v>8.0</v>
      </c>
      <c r="H16" s="88">
        <v>800000.0</v>
      </c>
      <c r="I16" s="97">
        <v>24.0</v>
      </c>
      <c r="J16" s="103">
        <f t="shared" si="3"/>
        <v>33333.33333</v>
      </c>
      <c r="K16" s="91">
        <v>3.0</v>
      </c>
      <c r="L16" s="86">
        <v>5.0</v>
      </c>
      <c r="M16" s="92">
        <f t="shared" si="2"/>
        <v>92.5</v>
      </c>
      <c r="N16" s="100">
        <v>18.5</v>
      </c>
      <c r="O16" s="100">
        <v>2.1</v>
      </c>
      <c r="P16" s="104" t="s">
        <v>854</v>
      </c>
      <c r="Q16" s="85">
        <v>8.0</v>
      </c>
      <c r="R16" s="85" t="s">
        <v>842</v>
      </c>
      <c r="S16" s="85" t="s">
        <v>157</v>
      </c>
      <c r="T16" s="102"/>
      <c r="U16" s="95">
        <v>2018.0</v>
      </c>
      <c r="V16" s="9" t="s">
        <v>903</v>
      </c>
      <c r="W16" s="15"/>
      <c r="X16" s="22" t="s">
        <v>890</v>
      </c>
      <c r="Y16" s="110" t="str">
        <f>HYPERLINK("http://www.world-semi.com/Certifications/details-121-4.html","http://www.world-semi.com/Certifications/details-121-4.html")</f>
        <v>http://www.world-semi.com/Certifications/details-121-4.html</v>
      </c>
      <c r="Z16" s="105"/>
    </row>
    <row r="17">
      <c r="A17" s="29" t="str">
        <f>HYPERLINK("https://cdn-shop.adafruit.com/datasheets/APA102.pdf","APA102")</f>
        <v>APA102</v>
      </c>
      <c r="B17" s="85" t="s">
        <v>862</v>
      </c>
      <c r="C17" s="86">
        <v>5.0</v>
      </c>
      <c r="D17" s="85" t="s">
        <v>81</v>
      </c>
      <c r="E17" s="99">
        <v>5.0</v>
      </c>
      <c r="F17" s="87">
        <v>19200.0</v>
      </c>
      <c r="G17" s="85" t="s">
        <v>904</v>
      </c>
      <c r="H17" s="88">
        <v>3.0E7</v>
      </c>
      <c r="I17" s="89">
        <v>32.0</v>
      </c>
      <c r="J17" s="90">
        <f t="shared" si="3"/>
        <v>937500</v>
      </c>
      <c r="K17" s="91">
        <f t="shared" ref="K17:K19" si="4">E17*0.7</f>
        <v>3.5</v>
      </c>
      <c r="L17" s="99">
        <v>5.0</v>
      </c>
      <c r="M17" s="92">
        <f t="shared" si="2"/>
        <v>110</v>
      </c>
      <c r="N17" s="93">
        <v>22.0</v>
      </c>
      <c r="O17" s="93">
        <v>1.0</v>
      </c>
      <c r="P17" s="94" t="s">
        <v>905</v>
      </c>
      <c r="Q17" s="85">
        <v>6.0</v>
      </c>
      <c r="R17" s="85" t="s">
        <v>906</v>
      </c>
      <c r="S17" s="85" t="s">
        <v>157</v>
      </c>
      <c r="T17" s="85" t="s">
        <v>907</v>
      </c>
      <c r="U17" s="95">
        <v>2014.0</v>
      </c>
      <c r="V17" s="9" t="s">
        <v>908</v>
      </c>
      <c r="W17" s="30" t="s">
        <v>909</v>
      </c>
      <c r="X17" s="9" t="s">
        <v>844</v>
      </c>
      <c r="Y17" s="30" t="s">
        <v>910</v>
      </c>
      <c r="Z17" s="13" t="s">
        <v>911</v>
      </c>
    </row>
    <row r="18">
      <c r="A18" s="111" t="s">
        <v>912</v>
      </c>
      <c r="B18" s="85" t="s">
        <v>862</v>
      </c>
      <c r="C18" s="86">
        <v>5.0</v>
      </c>
      <c r="D18" s="85" t="s">
        <v>81</v>
      </c>
      <c r="E18" s="99">
        <v>5.0</v>
      </c>
      <c r="F18" s="87">
        <v>19200.0</v>
      </c>
      <c r="G18" s="85" t="s">
        <v>904</v>
      </c>
      <c r="H18" s="88">
        <v>3.0E7</v>
      </c>
      <c r="I18" s="89">
        <v>32.0</v>
      </c>
      <c r="J18" s="90">
        <f t="shared" si="3"/>
        <v>937500</v>
      </c>
      <c r="K18" s="91">
        <f t="shared" si="4"/>
        <v>3.5</v>
      </c>
      <c r="L18" s="99">
        <v>5.0</v>
      </c>
      <c r="M18" s="92">
        <f t="shared" si="2"/>
        <v>110</v>
      </c>
      <c r="N18" s="93">
        <v>22.0</v>
      </c>
      <c r="O18" s="93">
        <v>1.0</v>
      </c>
      <c r="P18" s="94" t="s">
        <v>905</v>
      </c>
      <c r="Q18" s="85">
        <v>6.0</v>
      </c>
      <c r="R18" s="85" t="s">
        <v>906</v>
      </c>
      <c r="S18" s="85" t="s">
        <v>157</v>
      </c>
      <c r="T18" s="85" t="s">
        <v>907</v>
      </c>
      <c r="U18" s="95"/>
      <c r="V18" s="9" t="s">
        <v>913</v>
      </c>
      <c r="W18" s="9"/>
      <c r="X18" s="9" t="s">
        <v>844</v>
      </c>
      <c r="Y18" s="30" t="s">
        <v>910</v>
      </c>
      <c r="Z18" s="13" t="s">
        <v>914</v>
      </c>
    </row>
    <row r="19">
      <c r="A19" s="29" t="str">
        <f>HYPERLINK("http://www.newstar-ledstrip.com/product/20180820112602493.pdf","APA107")</f>
        <v>APA107</v>
      </c>
      <c r="B19" s="85" t="s">
        <v>862</v>
      </c>
      <c r="C19" s="86">
        <v>5.0</v>
      </c>
      <c r="D19" s="85" t="s">
        <v>81</v>
      </c>
      <c r="E19" s="86">
        <v>5.0</v>
      </c>
      <c r="F19" s="87">
        <v>9000.0</v>
      </c>
      <c r="G19" s="85" t="s">
        <v>904</v>
      </c>
      <c r="H19" s="88">
        <v>3.0E7</v>
      </c>
      <c r="I19" s="89">
        <v>32.0</v>
      </c>
      <c r="J19" s="90">
        <f t="shared" si="3"/>
        <v>937500</v>
      </c>
      <c r="K19" s="107">
        <f t="shared" si="4"/>
        <v>3.5</v>
      </c>
      <c r="L19" s="99">
        <f>E19+0.3</f>
        <v>5.3</v>
      </c>
      <c r="M19" s="92">
        <f t="shared" si="2"/>
        <v>110</v>
      </c>
      <c r="N19" s="100">
        <v>22.0</v>
      </c>
      <c r="O19" s="93">
        <v>1.0</v>
      </c>
      <c r="P19" s="104" t="s">
        <v>854</v>
      </c>
      <c r="Q19" s="85">
        <v>6.0</v>
      </c>
      <c r="R19" s="85" t="s">
        <v>906</v>
      </c>
      <c r="S19" s="85" t="s">
        <v>157</v>
      </c>
      <c r="T19" s="102"/>
      <c r="U19" s="95">
        <v>2017.0</v>
      </c>
      <c r="V19" s="9" t="s">
        <v>915</v>
      </c>
      <c r="W19" s="15"/>
      <c r="X19" s="9" t="s">
        <v>850</v>
      </c>
      <c r="Y19" s="23" t="s">
        <v>916</v>
      </c>
      <c r="Z19" s="20"/>
    </row>
    <row r="20">
      <c r="A20" s="29" t="str">
        <f>HYPERLINK("http://neon-world.com/en/product_detail.php?cid=59&amp;id=167","APA109")</f>
        <v>APA109</v>
      </c>
      <c r="B20" s="85" t="s">
        <v>917</v>
      </c>
      <c r="C20" s="86">
        <v>5.0</v>
      </c>
      <c r="D20" s="85" t="s">
        <v>157</v>
      </c>
      <c r="E20" s="86">
        <v>5.0</v>
      </c>
      <c r="F20" s="87">
        <v>1100.0</v>
      </c>
      <c r="G20" s="85">
        <v>8.0</v>
      </c>
      <c r="H20" s="88">
        <v>800000.0</v>
      </c>
      <c r="I20" s="89">
        <v>32.0</v>
      </c>
      <c r="J20" s="90">
        <f t="shared" si="3"/>
        <v>25000</v>
      </c>
      <c r="K20" s="91">
        <v>3.5</v>
      </c>
      <c r="L20" s="86">
        <v>5.0</v>
      </c>
      <c r="M20" s="92">
        <f t="shared" si="2"/>
        <v>0</v>
      </c>
      <c r="N20" s="15"/>
      <c r="P20" s="104" t="s">
        <v>854</v>
      </c>
      <c r="Q20" s="85">
        <v>4.0</v>
      </c>
      <c r="R20" s="85" t="s">
        <v>918</v>
      </c>
      <c r="S20" s="85" t="s">
        <v>157</v>
      </c>
      <c r="T20" s="102"/>
      <c r="U20" s="95">
        <v>2018.0</v>
      </c>
      <c r="V20" s="9" t="s">
        <v>919</v>
      </c>
      <c r="W20" s="15"/>
      <c r="X20" s="9" t="s">
        <v>844</v>
      </c>
      <c r="Y20" s="13" t="str">
        <f>HYPERLINK("http://neon-world.com/en/product_detail.php?cid=59&amp;id=167","http://neon-world.com/en/product_detail.php?cid=59&amp;id=167")</f>
        <v>http://neon-world.com/en/product_detail.php?cid=59&amp;id=167</v>
      </c>
      <c r="Z20" s="13" t="s">
        <v>920</v>
      </c>
    </row>
    <row r="21">
      <c r="A21" s="5" t="s">
        <v>921</v>
      </c>
      <c r="B21" s="85" t="s">
        <v>840</v>
      </c>
      <c r="C21" s="86">
        <v>5.0</v>
      </c>
      <c r="D21" s="85" t="s">
        <v>81</v>
      </c>
      <c r="E21" s="86">
        <v>5.0</v>
      </c>
      <c r="F21" s="87">
        <v>27000.0</v>
      </c>
      <c r="G21" s="85">
        <v>5.0</v>
      </c>
      <c r="H21" s="88">
        <v>4.0E7</v>
      </c>
      <c r="I21" s="89">
        <v>32.0</v>
      </c>
      <c r="J21" s="90">
        <f t="shared" si="3"/>
        <v>1250000</v>
      </c>
      <c r="K21" s="91">
        <v>3.4</v>
      </c>
      <c r="L21" s="86">
        <v>5.0</v>
      </c>
      <c r="M21" s="92" t="str">
        <f t="shared" si="2"/>
        <v>#VALUE!</v>
      </c>
      <c r="N21" s="100" t="s">
        <v>922</v>
      </c>
      <c r="O21" s="100">
        <v>0.1</v>
      </c>
      <c r="P21" s="94" t="s">
        <v>923</v>
      </c>
      <c r="Q21" s="85">
        <v>6.0</v>
      </c>
      <c r="R21" s="85" t="s">
        <v>906</v>
      </c>
      <c r="S21" s="85" t="s">
        <v>157</v>
      </c>
      <c r="T21" s="102"/>
      <c r="U21" s="95">
        <v>2019.0</v>
      </c>
      <c r="V21" s="9" t="s">
        <v>924</v>
      </c>
      <c r="W21" s="15"/>
      <c r="X21" s="22"/>
      <c r="Y21" s="13" t="s">
        <v>925</v>
      </c>
      <c r="Z21" s="13" t="s">
        <v>926</v>
      </c>
    </row>
    <row r="22">
      <c r="A22" s="29" t="str">
        <f>HYPERLINK("http://www.newstar-ledstrip.com/product/20190710114547839.pdf","NS107S")</f>
        <v>NS107S</v>
      </c>
      <c r="B22" s="85" t="s">
        <v>862</v>
      </c>
      <c r="C22" s="86">
        <v>5.0</v>
      </c>
      <c r="D22" s="85" t="s">
        <v>81</v>
      </c>
      <c r="E22" s="86">
        <v>5.0</v>
      </c>
      <c r="F22" s="87">
        <v>27000.0</v>
      </c>
      <c r="G22" s="85" t="s">
        <v>904</v>
      </c>
      <c r="H22" s="88">
        <v>3.0E7</v>
      </c>
      <c r="I22" s="89">
        <v>32.0</v>
      </c>
      <c r="J22" s="90">
        <f t="shared" si="3"/>
        <v>937500</v>
      </c>
      <c r="K22" s="107">
        <f>E22*0.7</f>
        <v>3.5</v>
      </c>
      <c r="L22" s="99">
        <f>E22+0.3</f>
        <v>5.3</v>
      </c>
      <c r="M22" s="92">
        <f t="shared" si="2"/>
        <v>100</v>
      </c>
      <c r="N22" s="101">
        <v>20.0</v>
      </c>
      <c r="O22" s="100">
        <v>0.1</v>
      </c>
      <c r="P22" s="94" t="s">
        <v>848</v>
      </c>
      <c r="Q22" s="85">
        <v>6.0</v>
      </c>
      <c r="R22" s="85" t="s">
        <v>906</v>
      </c>
      <c r="S22" s="85" t="s">
        <v>157</v>
      </c>
      <c r="T22" s="102"/>
      <c r="U22" s="95">
        <v>2017.0</v>
      </c>
      <c r="V22" s="9" t="s">
        <v>927</v>
      </c>
      <c r="W22" s="15"/>
      <c r="X22" s="9" t="s">
        <v>850</v>
      </c>
      <c r="Y22" s="30" t="s">
        <v>928</v>
      </c>
      <c r="Z22" s="9"/>
    </row>
    <row r="23">
      <c r="A23" s="29" t="str">
        <f>HYPERLINK("https://www.pololu.com/file/0J1234/sk9822_datasheet.pdf","SK9822")</f>
        <v>SK9822</v>
      </c>
      <c r="B23" s="85" t="s">
        <v>862</v>
      </c>
      <c r="C23" s="86">
        <v>5.0</v>
      </c>
      <c r="D23" s="85" t="s">
        <v>81</v>
      </c>
      <c r="E23" s="99">
        <v>5.0</v>
      </c>
      <c r="F23" s="87">
        <v>4600.0</v>
      </c>
      <c r="G23" s="85" t="s">
        <v>904</v>
      </c>
      <c r="H23" s="88">
        <v>3.0E7</v>
      </c>
      <c r="I23" s="89">
        <v>32.0</v>
      </c>
      <c r="J23" s="90">
        <f t="shared" si="3"/>
        <v>937500</v>
      </c>
      <c r="K23" s="107"/>
      <c r="L23" s="99">
        <v>5.0</v>
      </c>
      <c r="M23" s="92">
        <f t="shared" si="2"/>
        <v>100</v>
      </c>
      <c r="N23" s="93">
        <v>20.0</v>
      </c>
      <c r="O23" s="93">
        <v>1.0</v>
      </c>
      <c r="P23" s="104" t="s">
        <v>854</v>
      </c>
      <c r="Q23" s="85">
        <v>6.0</v>
      </c>
      <c r="R23" s="85" t="s">
        <v>906</v>
      </c>
      <c r="S23" s="95" t="s">
        <v>157</v>
      </c>
      <c r="T23" s="85"/>
      <c r="U23" s="95">
        <v>2016.0</v>
      </c>
      <c r="V23" s="9" t="s">
        <v>929</v>
      </c>
      <c r="W23" s="23" t="s">
        <v>930</v>
      </c>
      <c r="X23" s="9" t="s">
        <v>878</v>
      </c>
      <c r="Y23" s="23" t="s">
        <v>931</v>
      </c>
      <c r="Z23" s="13" t="s">
        <v>932</v>
      </c>
    </row>
    <row r="24">
      <c r="A24" s="5" t="s">
        <v>933</v>
      </c>
      <c r="B24" s="85" t="s">
        <v>847</v>
      </c>
      <c r="C24" s="99">
        <v>5.0</v>
      </c>
      <c r="D24" s="85" t="s">
        <v>157</v>
      </c>
      <c r="E24" s="99">
        <v>5.0</v>
      </c>
      <c r="F24" s="87">
        <v>10000.0</v>
      </c>
      <c r="G24" s="85" t="s">
        <v>770</v>
      </c>
      <c r="H24" s="96">
        <v>800000.0</v>
      </c>
      <c r="I24" s="89">
        <v>48.0</v>
      </c>
      <c r="J24" s="98">
        <f t="shared" si="3"/>
        <v>16666.66667</v>
      </c>
      <c r="K24" s="91"/>
      <c r="L24" s="99"/>
      <c r="M24" s="92">
        <f t="shared" si="2"/>
        <v>100</v>
      </c>
      <c r="N24" s="100">
        <v>20.0</v>
      </c>
      <c r="O24" s="100">
        <v>6.0</v>
      </c>
      <c r="P24" s="94" t="s">
        <v>934</v>
      </c>
      <c r="Q24" s="85">
        <v>6.0</v>
      </c>
      <c r="R24" s="85"/>
      <c r="S24" s="85" t="s">
        <v>81</v>
      </c>
      <c r="T24" s="85"/>
      <c r="U24" s="95">
        <v>2021.0</v>
      </c>
      <c r="V24" s="9"/>
      <c r="W24" s="15"/>
      <c r="X24" s="22"/>
      <c r="Y24" s="20"/>
      <c r="Z24" s="20"/>
    </row>
    <row r="25">
      <c r="A25" s="5" t="s">
        <v>935</v>
      </c>
      <c r="B25" s="85" t="s">
        <v>840</v>
      </c>
      <c r="C25" s="86">
        <v>5.0</v>
      </c>
      <c r="D25" s="85" t="s">
        <v>81</v>
      </c>
      <c r="E25" s="86">
        <v>5.0</v>
      </c>
      <c r="F25" s="87">
        <v>27000.0</v>
      </c>
      <c r="G25" s="85">
        <v>15.0</v>
      </c>
      <c r="H25" s="88">
        <v>4.0E7</v>
      </c>
      <c r="I25" s="89">
        <v>64.0</v>
      </c>
      <c r="J25" s="90">
        <f t="shared" si="3"/>
        <v>625000</v>
      </c>
      <c r="K25" s="91">
        <v>3.4</v>
      </c>
      <c r="L25" s="86">
        <v>5.0</v>
      </c>
      <c r="M25" s="92" t="str">
        <f t="shared" si="2"/>
        <v>#VALUE!</v>
      </c>
      <c r="N25" s="100" t="s">
        <v>922</v>
      </c>
      <c r="O25" s="100">
        <v>0.1</v>
      </c>
      <c r="P25" s="94" t="s">
        <v>923</v>
      </c>
      <c r="Q25" s="85">
        <v>6.0</v>
      </c>
      <c r="R25" s="85" t="s">
        <v>906</v>
      </c>
      <c r="S25" s="85" t="s">
        <v>157</v>
      </c>
      <c r="T25" s="102"/>
      <c r="U25" s="95"/>
      <c r="V25" s="9" t="s">
        <v>936</v>
      </c>
      <c r="W25" s="15"/>
      <c r="X25" s="22"/>
      <c r="Y25" s="13" t="s">
        <v>937</v>
      </c>
      <c r="Z25" s="13" t="s">
        <v>938</v>
      </c>
    </row>
    <row r="26">
      <c r="A26" s="5" t="s">
        <v>939</v>
      </c>
      <c r="B26" s="85" t="s">
        <v>862</v>
      </c>
      <c r="C26" s="86">
        <v>5.0</v>
      </c>
      <c r="D26" s="85" t="s">
        <v>81</v>
      </c>
      <c r="E26" s="86">
        <v>5.1</v>
      </c>
      <c r="F26" s="87">
        <v>27000.0</v>
      </c>
      <c r="G26" s="112" t="s">
        <v>940</v>
      </c>
      <c r="H26" s="88">
        <v>3.0E7</v>
      </c>
      <c r="I26" s="89">
        <v>64.0</v>
      </c>
      <c r="J26" s="90">
        <f t="shared" si="3"/>
        <v>468750</v>
      </c>
      <c r="K26" s="91">
        <v>3.0</v>
      </c>
      <c r="L26" s="99">
        <f t="shared" ref="L26:L27" si="5">E26+0.5</f>
        <v>5.6</v>
      </c>
      <c r="M26" s="92">
        <f t="shared" si="2"/>
        <v>102</v>
      </c>
      <c r="N26" s="101">
        <v>20.0</v>
      </c>
      <c r="O26" s="93">
        <v>1.0</v>
      </c>
      <c r="P26" s="94" t="s">
        <v>848</v>
      </c>
      <c r="Q26" s="85">
        <v>6.0</v>
      </c>
      <c r="R26" s="85" t="s">
        <v>906</v>
      </c>
      <c r="S26" s="85" t="s">
        <v>157</v>
      </c>
      <c r="T26" s="102"/>
      <c r="U26" s="95">
        <v>2018.0</v>
      </c>
      <c r="V26" s="9" t="s">
        <v>941</v>
      </c>
      <c r="W26" s="9"/>
      <c r="X26" s="9" t="s">
        <v>850</v>
      </c>
      <c r="Y26" s="113" t="s">
        <v>942</v>
      </c>
      <c r="Z26" s="20"/>
    </row>
    <row r="27">
      <c r="A27" s="29" t="str">
        <f>HYPERLINK("http://newstar-ledstrip.com/product/20191018160652775.pdf","NS108E")</f>
        <v>NS108E</v>
      </c>
      <c r="B27" s="85" t="s">
        <v>840</v>
      </c>
      <c r="C27" s="86">
        <v>5.0</v>
      </c>
      <c r="D27" s="85" t="s">
        <v>81</v>
      </c>
      <c r="E27" s="86">
        <v>5.1</v>
      </c>
      <c r="F27" s="87">
        <v>4000.0</v>
      </c>
      <c r="G27" s="112" t="s">
        <v>940</v>
      </c>
      <c r="H27" s="88">
        <v>3.0E7</v>
      </c>
      <c r="I27" s="89">
        <v>64.0</v>
      </c>
      <c r="J27" s="90">
        <f t="shared" si="3"/>
        <v>468750</v>
      </c>
      <c r="K27" s="91">
        <v>3.0</v>
      </c>
      <c r="L27" s="99">
        <f t="shared" si="5"/>
        <v>5.6</v>
      </c>
      <c r="M27" s="92">
        <f t="shared" si="2"/>
        <v>91.8</v>
      </c>
      <c r="N27" s="101">
        <v>18.0</v>
      </c>
      <c r="O27" s="101">
        <v>3.6</v>
      </c>
      <c r="P27" s="104" t="s">
        <v>848</v>
      </c>
      <c r="Q27" s="85">
        <v>6.0</v>
      </c>
      <c r="R27" s="85" t="s">
        <v>943</v>
      </c>
      <c r="S27" s="85" t="s">
        <v>157</v>
      </c>
      <c r="T27" s="102"/>
      <c r="U27" s="95">
        <v>2019.0</v>
      </c>
      <c r="V27" s="9" t="s">
        <v>944</v>
      </c>
      <c r="W27" s="15"/>
      <c r="X27" s="9" t="s">
        <v>850</v>
      </c>
      <c r="Y27" s="30" t="s">
        <v>945</v>
      </c>
      <c r="Z27" s="9"/>
    </row>
    <row r="28">
      <c r="A28" s="29" t="str">
        <f>HYPERLINK("http://newstar-ledstrip.com/product/20190927165451294.pdf","SK9826")</f>
        <v>SK9826</v>
      </c>
      <c r="B28" s="85" t="s">
        <v>840</v>
      </c>
      <c r="C28" s="86">
        <v>5.0</v>
      </c>
      <c r="D28" s="85" t="s">
        <v>81</v>
      </c>
      <c r="E28" s="86">
        <v>5.0</v>
      </c>
      <c r="F28" s="87">
        <v>4000.0</v>
      </c>
      <c r="G28" s="112" t="s">
        <v>940</v>
      </c>
      <c r="H28" s="88">
        <v>3.0E7</v>
      </c>
      <c r="I28" s="89">
        <v>64.0</v>
      </c>
      <c r="J28" s="90">
        <f t="shared" si="3"/>
        <v>468750</v>
      </c>
      <c r="K28" s="91"/>
      <c r="L28" s="99"/>
      <c r="M28" s="92">
        <f t="shared" si="2"/>
        <v>90</v>
      </c>
      <c r="N28" s="101">
        <v>18.0</v>
      </c>
      <c r="O28" s="100">
        <v>3.6</v>
      </c>
      <c r="P28" s="94" t="s">
        <v>946</v>
      </c>
      <c r="Q28" s="85">
        <v>6.0</v>
      </c>
      <c r="R28" s="85" t="s">
        <v>943</v>
      </c>
      <c r="S28" s="85" t="s">
        <v>157</v>
      </c>
      <c r="T28" s="85"/>
      <c r="U28" s="95">
        <v>2016.0</v>
      </c>
      <c r="V28" s="9" t="s">
        <v>947</v>
      </c>
      <c r="W28" s="15"/>
      <c r="X28" s="9" t="s">
        <v>850</v>
      </c>
      <c r="Y28" s="30" t="s">
        <v>948</v>
      </c>
      <c r="Z28" s="9"/>
    </row>
    <row r="29">
      <c r="A29" s="108" t="s">
        <v>949</v>
      </c>
      <c r="B29" s="85" t="s">
        <v>840</v>
      </c>
      <c r="C29" s="86">
        <v>5.0</v>
      </c>
      <c r="D29" s="85"/>
      <c r="E29" s="86"/>
      <c r="F29" s="87"/>
      <c r="G29" s="85"/>
      <c r="H29" s="88"/>
      <c r="I29" s="97"/>
      <c r="J29" s="103"/>
      <c r="K29" s="91"/>
      <c r="L29" s="86"/>
      <c r="M29" s="92">
        <f t="shared" si="2"/>
        <v>0</v>
      </c>
      <c r="N29" s="100"/>
      <c r="O29" s="100"/>
      <c r="P29" s="94"/>
      <c r="Q29" s="85"/>
      <c r="R29" s="85"/>
      <c r="S29" s="85"/>
      <c r="T29" s="102"/>
      <c r="U29" s="95"/>
      <c r="V29" s="9" t="s">
        <v>950</v>
      </c>
      <c r="W29" s="15"/>
      <c r="X29" s="22"/>
      <c r="Y29" s="13" t="s">
        <v>951</v>
      </c>
      <c r="Z29" s="22"/>
    </row>
    <row r="30">
      <c r="A30" s="5" t="s">
        <v>952</v>
      </c>
      <c r="B30" s="85"/>
      <c r="C30" s="85" t="s">
        <v>953</v>
      </c>
      <c r="D30" s="85" t="s">
        <v>81</v>
      </c>
      <c r="E30" s="86" t="s">
        <v>954</v>
      </c>
      <c r="F30" s="87" t="s">
        <v>955</v>
      </c>
      <c r="G30" s="85" t="s">
        <v>904</v>
      </c>
      <c r="H30" s="88"/>
      <c r="I30" s="89"/>
      <c r="J30" s="90"/>
      <c r="K30" s="91"/>
      <c r="L30" s="86"/>
      <c r="M30" s="92" t="str">
        <f t="shared" si="2"/>
        <v>#VALUE!</v>
      </c>
      <c r="N30" s="100" t="s">
        <v>956</v>
      </c>
      <c r="O30" s="100" t="s">
        <v>957</v>
      </c>
      <c r="P30" s="94" t="s">
        <v>958</v>
      </c>
      <c r="Q30" s="85">
        <v>6.0</v>
      </c>
      <c r="R30" s="85" t="s">
        <v>906</v>
      </c>
      <c r="S30" s="85" t="s">
        <v>93</v>
      </c>
      <c r="T30" s="85"/>
      <c r="U30" s="95"/>
      <c r="V30" s="9"/>
      <c r="W30" s="105"/>
      <c r="X30" s="9"/>
      <c r="Y30" s="22"/>
      <c r="Z30" s="22"/>
    </row>
    <row r="31">
      <c r="A31" s="5" t="s">
        <v>959</v>
      </c>
      <c r="B31" s="85"/>
      <c r="C31" s="86" t="s">
        <v>953</v>
      </c>
      <c r="D31" s="85" t="s">
        <v>81</v>
      </c>
      <c r="E31" s="86" t="s">
        <v>954</v>
      </c>
      <c r="F31" s="87" t="s">
        <v>955</v>
      </c>
      <c r="G31" s="85" t="s">
        <v>904</v>
      </c>
      <c r="H31" s="88"/>
      <c r="I31" s="89"/>
      <c r="J31" s="90"/>
      <c r="K31" s="91"/>
      <c r="L31" s="86"/>
      <c r="M31" s="92" t="str">
        <f t="shared" si="2"/>
        <v>#VALUE!</v>
      </c>
      <c r="N31" s="100" t="s">
        <v>922</v>
      </c>
      <c r="O31" s="100" t="s">
        <v>957</v>
      </c>
      <c r="P31" s="94" t="s">
        <v>854</v>
      </c>
      <c r="Q31" s="85">
        <v>6.0</v>
      </c>
      <c r="R31" s="85" t="s">
        <v>906</v>
      </c>
      <c r="S31" s="85" t="s">
        <v>93</v>
      </c>
      <c r="T31" s="85"/>
      <c r="U31" s="95"/>
      <c r="V31" s="9"/>
      <c r="W31" s="105"/>
      <c r="X31" s="9"/>
      <c r="Y31" s="22"/>
      <c r="Z31" s="22"/>
    </row>
    <row r="32">
      <c r="A32" s="111" t="s">
        <v>960</v>
      </c>
      <c r="B32" s="85" t="s">
        <v>961</v>
      </c>
      <c r="C32" s="86">
        <v>5.0</v>
      </c>
      <c r="D32" s="85" t="s">
        <v>157</v>
      </c>
      <c r="E32" s="86">
        <v>5.0</v>
      </c>
      <c r="F32" s="87">
        <v>1200.0</v>
      </c>
      <c r="G32" s="85">
        <v>8.0</v>
      </c>
      <c r="H32" s="88">
        <v>800000.0</v>
      </c>
      <c r="I32" s="89"/>
      <c r="J32" s="98"/>
      <c r="K32" s="91"/>
      <c r="L32" s="86"/>
      <c r="M32" s="92">
        <f t="shared" si="2"/>
        <v>0</v>
      </c>
      <c r="N32" s="100"/>
      <c r="O32" s="100"/>
      <c r="P32" s="94" t="s">
        <v>854</v>
      </c>
      <c r="Q32" s="85">
        <v>4.0</v>
      </c>
      <c r="R32" s="85"/>
      <c r="S32" s="95" t="s">
        <v>157</v>
      </c>
      <c r="T32" s="85"/>
      <c r="U32" s="95"/>
      <c r="V32" s="9"/>
      <c r="W32" s="15"/>
      <c r="X32" s="9"/>
      <c r="Y32" s="30" t="s">
        <v>962</v>
      </c>
      <c r="Z32" s="13" t="s">
        <v>963</v>
      </c>
    </row>
    <row r="33">
      <c r="A33" s="111" t="s">
        <v>964</v>
      </c>
      <c r="B33" s="85" t="s">
        <v>840</v>
      </c>
      <c r="C33" s="86">
        <v>5.0</v>
      </c>
      <c r="D33" s="85" t="s">
        <v>157</v>
      </c>
      <c r="E33" s="86">
        <v>5.0</v>
      </c>
      <c r="F33" s="87">
        <v>1200.0</v>
      </c>
      <c r="G33" s="85">
        <v>8.0</v>
      </c>
      <c r="H33" s="88">
        <v>800000.0</v>
      </c>
      <c r="I33" s="89"/>
      <c r="J33" s="98"/>
      <c r="K33" s="91"/>
      <c r="L33" s="86"/>
      <c r="M33" s="92">
        <f t="shared" si="2"/>
        <v>0</v>
      </c>
      <c r="N33" s="100"/>
      <c r="O33" s="100"/>
      <c r="P33" s="94" t="s">
        <v>854</v>
      </c>
      <c r="Q33" s="85">
        <v>6.0</v>
      </c>
      <c r="R33" s="85"/>
      <c r="S33" s="95" t="s">
        <v>81</v>
      </c>
      <c r="T33" s="85"/>
      <c r="U33" s="95"/>
      <c r="V33" s="9"/>
      <c r="W33" s="15"/>
      <c r="X33" s="9"/>
      <c r="Y33" s="9"/>
      <c r="Z33" s="13" t="s">
        <v>965</v>
      </c>
    </row>
    <row r="34">
      <c r="A34" s="29" t="s">
        <v>966</v>
      </c>
      <c r="B34" s="85"/>
      <c r="C34" s="86">
        <v>5.0</v>
      </c>
      <c r="D34" s="85" t="s">
        <v>81</v>
      </c>
      <c r="E34" s="86">
        <v>5.0</v>
      </c>
      <c r="F34" s="87">
        <v>27000.0</v>
      </c>
      <c r="G34" s="85"/>
      <c r="H34" s="88">
        <v>3.0E7</v>
      </c>
      <c r="I34" s="89"/>
      <c r="J34" s="90"/>
      <c r="K34" s="107"/>
      <c r="L34" s="99"/>
      <c r="M34" s="92">
        <f t="shared" si="2"/>
        <v>0</v>
      </c>
      <c r="N34" s="93"/>
      <c r="O34" s="93">
        <v>1.0</v>
      </c>
      <c r="P34" s="94" t="s">
        <v>854</v>
      </c>
      <c r="Q34" s="85">
        <v>6.0</v>
      </c>
      <c r="R34" s="85" t="s">
        <v>906</v>
      </c>
      <c r="S34" s="95" t="s">
        <v>157</v>
      </c>
      <c r="T34" s="85"/>
      <c r="U34" s="95"/>
      <c r="V34" s="9" t="s">
        <v>967</v>
      </c>
      <c r="W34" s="20"/>
      <c r="X34" s="9" t="s">
        <v>850</v>
      </c>
      <c r="Y34" s="20"/>
      <c r="Z34" s="20"/>
    </row>
    <row r="35">
      <c r="A35" s="29" t="s">
        <v>968</v>
      </c>
      <c r="B35" s="85"/>
      <c r="C35" s="86"/>
      <c r="D35" s="85"/>
      <c r="E35" s="86"/>
      <c r="F35" s="87"/>
      <c r="G35" s="85"/>
      <c r="H35" s="88"/>
      <c r="I35" s="97"/>
      <c r="J35" s="103"/>
      <c r="K35" s="91"/>
      <c r="L35" s="86"/>
      <c r="M35" s="92">
        <f t="shared" si="2"/>
        <v>0</v>
      </c>
      <c r="N35" s="100"/>
      <c r="O35" s="100"/>
      <c r="P35" s="94"/>
      <c r="Q35" s="85"/>
      <c r="R35" s="85"/>
      <c r="S35" s="85"/>
      <c r="T35" s="102"/>
      <c r="U35" s="95"/>
      <c r="V35" s="9"/>
      <c r="W35" s="15"/>
      <c r="X35" s="22"/>
      <c r="Y35" s="105"/>
      <c r="Z35" s="105"/>
    </row>
    <row r="36">
      <c r="A36" s="5" t="s">
        <v>969</v>
      </c>
      <c r="B36" s="85" t="s">
        <v>961</v>
      </c>
      <c r="C36" s="86">
        <v>12.0</v>
      </c>
      <c r="D36" s="85" t="s">
        <v>157</v>
      </c>
      <c r="E36" s="86"/>
      <c r="F36" s="87"/>
      <c r="G36" s="85"/>
      <c r="H36" s="88"/>
      <c r="I36" s="97"/>
      <c r="J36" s="103"/>
      <c r="K36" s="91"/>
      <c r="L36" s="86"/>
      <c r="M36" s="92">
        <f t="shared" si="2"/>
        <v>0</v>
      </c>
      <c r="N36" s="100"/>
      <c r="O36" s="100"/>
      <c r="P36" s="94"/>
      <c r="Q36" s="85"/>
      <c r="R36" s="85"/>
      <c r="S36" s="85"/>
      <c r="T36" s="102"/>
      <c r="U36" s="95"/>
      <c r="V36" s="9"/>
      <c r="W36" s="15"/>
      <c r="X36" s="22" t="s">
        <v>970</v>
      </c>
      <c r="Y36" s="13" t="s">
        <v>971</v>
      </c>
      <c r="Z36" s="105"/>
    </row>
    <row r="37">
      <c r="A37" s="111"/>
      <c r="B37" s="85"/>
      <c r="C37" s="86"/>
      <c r="D37" s="85" t="s">
        <v>770</v>
      </c>
      <c r="E37" s="86"/>
      <c r="F37" s="87"/>
      <c r="G37" s="85"/>
      <c r="H37" s="88"/>
      <c r="I37" s="97"/>
      <c r="J37" s="103"/>
      <c r="K37" s="91"/>
      <c r="L37" s="86"/>
      <c r="M37" s="114"/>
      <c r="N37" s="100"/>
      <c r="O37" s="100"/>
      <c r="P37" s="94"/>
      <c r="Q37" s="85"/>
      <c r="R37" s="85"/>
      <c r="S37" s="85"/>
      <c r="T37" s="102"/>
      <c r="U37" s="95"/>
      <c r="V37" s="9"/>
      <c r="W37" s="15"/>
      <c r="X37" s="22"/>
      <c r="Y37" s="105"/>
      <c r="Z37" s="105"/>
    </row>
  </sheetData>
  <dataValidations>
    <dataValidation type="decimal" operator="greaterThan" allowBlank="1" showDropDown="1" showInputMessage="1" prompt="Enter a number greater than 0" sqref="C2:C29 C31:C37 E2:E37 K2:L37">
      <formula1>0.0</formula1>
    </dataValidation>
  </dataValidations>
  <hyperlinks>
    <hyperlink r:id="rId4" ref="Z2"/>
    <hyperlink r:id="rId5" ref="A3"/>
    <hyperlink r:id="rId6" ref="Y3"/>
    <hyperlink r:id="rId7" ref="A4"/>
    <hyperlink r:id="rId8" ref="Y4"/>
    <hyperlink r:id="rId9" ref="Z4"/>
    <hyperlink r:id="rId10" ref="Z5"/>
    <hyperlink r:id="rId11" ref="Y6"/>
    <hyperlink r:id="rId12" ref="A7"/>
    <hyperlink r:id="rId13" ref="Y7"/>
    <hyperlink r:id="rId14" ref="W8"/>
    <hyperlink r:id="rId15" ref="Y8"/>
    <hyperlink r:id="rId16" ref="A9"/>
    <hyperlink r:id="rId17" ref="Y9"/>
    <hyperlink r:id="rId18" ref="Y10"/>
    <hyperlink r:id="rId19" ref="Z10"/>
    <hyperlink r:id="rId20" ref="A11"/>
    <hyperlink r:id="rId21" ref="Z11"/>
    <hyperlink r:id="rId22" ref="A12"/>
    <hyperlink r:id="rId23" ref="Z12"/>
    <hyperlink r:id="rId24" ref="Y13"/>
    <hyperlink r:id="rId25" ref="Z13"/>
    <hyperlink r:id="rId26" ref="A14"/>
    <hyperlink r:id="rId27" ref="Y14"/>
    <hyperlink r:id="rId28" ref="Z14"/>
    <hyperlink r:id="rId29" ref="A15"/>
    <hyperlink r:id="rId30" ref="Y15"/>
    <hyperlink r:id="rId31" ref="Z15"/>
    <hyperlink r:id="rId32" ref="W17"/>
    <hyperlink r:id="rId33" ref="Y17"/>
    <hyperlink r:id="rId34" ref="Z17"/>
    <hyperlink r:id="rId35" ref="Y18"/>
    <hyperlink r:id="rId36" ref="Z18"/>
    <hyperlink r:id="rId37" ref="Y19"/>
    <hyperlink r:id="rId38" ref="Z20"/>
    <hyperlink r:id="rId39" ref="A21"/>
    <hyperlink r:id="rId40" ref="Y21"/>
    <hyperlink r:id="rId41" ref="Z21"/>
    <hyperlink r:id="rId42" ref="Y22"/>
    <hyperlink r:id="rId43" ref="W23"/>
    <hyperlink r:id="rId44" ref="Y23"/>
    <hyperlink r:id="rId45" ref="Z23"/>
    <hyperlink r:id="rId46" ref="A24"/>
    <hyperlink r:id="rId47" ref="A25"/>
    <hyperlink r:id="rId48" ref="Y25"/>
    <hyperlink r:id="rId49" ref="Z25"/>
    <hyperlink r:id="rId50" ref="A26"/>
    <hyperlink r:id="rId51" ref="Y26"/>
    <hyperlink r:id="rId52" ref="Y27"/>
    <hyperlink r:id="rId53" ref="Y28"/>
    <hyperlink r:id="rId54" ref="A29"/>
    <hyperlink r:id="rId55" ref="Y29"/>
    <hyperlink r:id="rId56" ref="A30"/>
    <hyperlink r:id="rId57" ref="A31"/>
    <hyperlink r:id="rId58" ref="Y32"/>
    <hyperlink r:id="rId59" ref="Z32"/>
    <hyperlink r:id="rId60" ref="Z33"/>
    <hyperlink r:id="rId61" ref="A34"/>
    <hyperlink r:id="rId62" ref="A35"/>
    <hyperlink r:id="rId63" ref="A36"/>
    <hyperlink r:id="rId64" ref="Y36"/>
  </hyperlinks>
  <printOptions gridLines="1" horizontalCentered="1"/>
  <pageMargins bottom="0.75" footer="0.0" header="0.0" left="0.25" right="0.25" top="0.75"/>
  <pageSetup fitToHeight="0" paperSize="8" cellComments="atEnd" orientation="landscape" pageOrder="overThenDown"/>
  <drawing r:id="rId65"/>
  <legacyDrawing r:id="rId66"/>
  <tableParts count="1">
    <tablePart r:id="rId6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25"/>
    <col customWidth="1" min="2" max="2" width="19.5"/>
    <col customWidth="1" min="3" max="3" width="20.63"/>
    <col customWidth="1" min="4" max="4" width="26.25"/>
    <col customWidth="1" min="5" max="5" width="26.63"/>
    <col customWidth="1" min="6" max="6" width="18.25"/>
    <col customWidth="1" min="7" max="7" width="18.75"/>
    <col customWidth="1" min="8" max="8" width="12.5"/>
    <col customWidth="1" min="9" max="9" width="21.38"/>
    <col customWidth="1" min="10" max="10" width="13.63"/>
    <col customWidth="1" min="11" max="11" width="12.63"/>
    <col customWidth="1" min="12" max="12" width="8.38"/>
    <col customWidth="1" min="13" max="13" width="8.63"/>
    <col customWidth="1" min="14" max="14" width="10.5"/>
    <col customWidth="1" min="15" max="15" width="15.13"/>
    <col customWidth="1" min="16" max="16" width="18.75"/>
    <col customWidth="1" min="17" max="17" width="8.63"/>
    <col customWidth="1" min="18" max="18" width="12.0"/>
    <col customWidth="1" min="19" max="19" width="14.63"/>
    <col customWidth="1" min="20" max="20" width="16.25"/>
    <col customWidth="1" min="21" max="21" width="11.0"/>
    <col customWidth="1" min="22" max="22" width="62.38"/>
    <col customWidth="1" min="23" max="23" width="56.0"/>
    <col customWidth="1" min="24" max="25" width="67.25"/>
  </cols>
  <sheetData>
    <row r="1">
      <c r="A1" s="111"/>
      <c r="B1" s="115" t="s">
        <v>819</v>
      </c>
      <c r="C1" s="115" t="s">
        <v>972</v>
      </c>
      <c r="D1" s="115" t="s">
        <v>973</v>
      </c>
      <c r="E1" s="115" t="s">
        <v>974</v>
      </c>
      <c r="F1" s="115" t="s">
        <v>504</v>
      </c>
      <c r="G1" s="116" t="s">
        <v>821</v>
      </c>
      <c r="H1" s="115" t="s">
        <v>822</v>
      </c>
      <c r="I1" s="117" t="s">
        <v>823</v>
      </c>
      <c r="J1" s="115" t="s">
        <v>975</v>
      </c>
      <c r="K1" s="115" t="s">
        <v>976</v>
      </c>
      <c r="L1" s="115" t="s">
        <v>824</v>
      </c>
      <c r="M1" s="115" t="s">
        <v>825</v>
      </c>
      <c r="N1" s="115" t="s">
        <v>353</v>
      </c>
      <c r="O1" s="118" t="s">
        <v>828</v>
      </c>
      <c r="P1" s="115" t="s">
        <v>829</v>
      </c>
      <c r="Q1" s="119" t="s">
        <v>830</v>
      </c>
      <c r="R1" s="115" t="s">
        <v>831</v>
      </c>
      <c r="S1" s="115" t="s">
        <v>832</v>
      </c>
      <c r="T1" s="115" t="s">
        <v>833</v>
      </c>
      <c r="U1" s="115" t="s">
        <v>834</v>
      </c>
      <c r="V1" s="115" t="s">
        <v>835</v>
      </c>
      <c r="W1" s="115" t="s">
        <v>836</v>
      </c>
      <c r="X1" s="115" t="s">
        <v>838</v>
      </c>
      <c r="Y1" s="115" t="s">
        <v>839</v>
      </c>
    </row>
    <row r="2">
      <c r="A2" s="111" t="s">
        <v>977</v>
      </c>
      <c r="B2" s="87">
        <v>3000.0</v>
      </c>
      <c r="C2" s="85">
        <v>3.0</v>
      </c>
      <c r="D2" s="85">
        <v>8.0</v>
      </c>
      <c r="E2" s="85"/>
      <c r="F2" s="85" t="s">
        <v>157</v>
      </c>
      <c r="G2" s="120">
        <v>650000.0</v>
      </c>
      <c r="H2" s="121">
        <v>24.0</v>
      </c>
      <c r="I2" s="122">
        <f t="shared" ref="I2:I42" si="1">if(AND(H2&lt;&gt;"",G2&lt;&gt;""),G2/H2,"")</f>
        <v>27083.33333</v>
      </c>
      <c r="J2" s="123">
        <v>24.0</v>
      </c>
      <c r="K2" s="123">
        <v>5.0</v>
      </c>
      <c r="L2" s="124"/>
      <c r="M2" s="125"/>
      <c r="N2" s="126"/>
      <c r="O2" s="93"/>
      <c r="P2" s="85" t="s">
        <v>978</v>
      </c>
      <c r="Q2" s="94" t="s">
        <v>979</v>
      </c>
      <c r="R2" s="85" t="s">
        <v>980</v>
      </c>
      <c r="S2" s="85" t="s">
        <v>157</v>
      </c>
      <c r="T2" s="102"/>
      <c r="U2" s="127"/>
      <c r="V2" s="9"/>
      <c r="W2" s="15"/>
      <c r="X2" s="9"/>
      <c r="Y2" s="13" t="s">
        <v>981</v>
      </c>
    </row>
    <row r="3">
      <c r="A3" s="111" t="s">
        <v>982</v>
      </c>
      <c r="B3" s="87">
        <v>8000.0</v>
      </c>
      <c r="C3" s="85">
        <v>3.0</v>
      </c>
      <c r="D3" s="85">
        <v>8.0</v>
      </c>
      <c r="E3" s="85">
        <v>12.0</v>
      </c>
      <c r="F3" s="85" t="s">
        <v>157</v>
      </c>
      <c r="G3" s="120"/>
      <c r="H3" s="121"/>
      <c r="I3" s="122" t="str">
        <f t="shared" si="1"/>
        <v/>
      </c>
      <c r="J3" s="123"/>
      <c r="K3" s="123"/>
      <c r="L3" s="124"/>
      <c r="M3" s="125"/>
      <c r="N3" s="126"/>
      <c r="O3" s="93"/>
      <c r="P3" s="128"/>
      <c r="Q3" s="94"/>
      <c r="R3" s="85"/>
      <c r="S3" s="85"/>
      <c r="T3" s="102"/>
      <c r="U3" s="127"/>
      <c r="V3" s="9"/>
      <c r="W3" s="15"/>
      <c r="X3" s="9"/>
      <c r="Y3" s="13" t="s">
        <v>983</v>
      </c>
    </row>
    <row r="4">
      <c r="A4" s="111" t="s">
        <v>984</v>
      </c>
      <c r="B4" s="87">
        <v>8000.0</v>
      </c>
      <c r="C4" s="85">
        <v>3.0</v>
      </c>
      <c r="D4" s="85">
        <v>8.0</v>
      </c>
      <c r="E4" s="85">
        <v>12.0</v>
      </c>
      <c r="F4" s="85" t="s">
        <v>157</v>
      </c>
      <c r="G4" s="120"/>
      <c r="H4" s="121"/>
      <c r="I4" s="122" t="str">
        <f t="shared" si="1"/>
        <v/>
      </c>
      <c r="J4" s="123"/>
      <c r="K4" s="123"/>
      <c r="L4" s="124"/>
      <c r="M4" s="125"/>
      <c r="N4" s="126"/>
      <c r="O4" s="93"/>
      <c r="P4" s="128"/>
      <c r="Q4" s="94"/>
      <c r="R4" s="85"/>
      <c r="S4" s="85"/>
      <c r="T4" s="102"/>
      <c r="U4" s="127"/>
      <c r="V4" s="9"/>
      <c r="W4" s="15"/>
      <c r="X4" s="9"/>
      <c r="Y4" s="13" t="s">
        <v>985</v>
      </c>
    </row>
    <row r="5">
      <c r="A5" s="5" t="s">
        <v>986</v>
      </c>
      <c r="B5" s="87">
        <v>8000.0</v>
      </c>
      <c r="C5" s="85">
        <v>3.0</v>
      </c>
      <c r="D5" s="85">
        <v>8.0</v>
      </c>
      <c r="E5" s="85">
        <v>12.0</v>
      </c>
      <c r="F5" s="85" t="s">
        <v>157</v>
      </c>
      <c r="G5" s="120"/>
      <c r="H5" s="121"/>
      <c r="I5" s="122" t="str">
        <f t="shared" si="1"/>
        <v/>
      </c>
      <c r="J5" s="123"/>
      <c r="K5" s="123"/>
      <c r="L5" s="124"/>
      <c r="M5" s="125"/>
      <c r="N5" s="126"/>
      <c r="O5" s="93"/>
      <c r="P5" s="128"/>
      <c r="Q5" s="94"/>
      <c r="R5" s="85"/>
      <c r="S5" s="85"/>
      <c r="T5" s="102"/>
      <c r="U5" s="127"/>
      <c r="V5" s="9"/>
      <c r="W5" s="13" t="s">
        <v>861</v>
      </c>
      <c r="X5" s="9"/>
    </row>
    <row r="6">
      <c r="A6" s="29" t="str">
        <f>HYPERLINK("https://cdn-shop.adafruit.com/datasheets/LPD6803.pdf","LPD6803")</f>
        <v>LPD6803</v>
      </c>
      <c r="B6" s="87">
        <v>1000.0</v>
      </c>
      <c r="C6" s="85">
        <v>3.0</v>
      </c>
      <c r="D6" s="85">
        <v>5.0</v>
      </c>
      <c r="E6" s="85">
        <v>5.0</v>
      </c>
      <c r="F6" s="85" t="s">
        <v>81</v>
      </c>
      <c r="G6" s="120">
        <v>1.5E7</v>
      </c>
      <c r="H6" s="121">
        <v>16.0</v>
      </c>
      <c r="I6" s="122">
        <f t="shared" si="1"/>
        <v>937500</v>
      </c>
      <c r="J6" s="123">
        <v>12.0</v>
      </c>
      <c r="K6" s="123">
        <v>5.0</v>
      </c>
      <c r="L6" s="124"/>
      <c r="M6" s="125">
        <v>5.0</v>
      </c>
      <c r="N6" s="126">
        <v>45.0</v>
      </c>
      <c r="O6" s="93"/>
      <c r="P6" s="128" t="s">
        <v>987</v>
      </c>
      <c r="Q6" s="94" t="s">
        <v>988</v>
      </c>
      <c r="R6" s="85" t="s">
        <v>989</v>
      </c>
      <c r="S6" s="85" t="s">
        <v>157</v>
      </c>
      <c r="T6" s="102"/>
      <c r="U6" s="127"/>
      <c r="V6" s="9" t="s">
        <v>990</v>
      </c>
      <c r="W6" s="15"/>
      <c r="X6" s="13" t="s">
        <v>991</v>
      </c>
      <c r="Y6" s="13" t="s">
        <v>992</v>
      </c>
    </row>
    <row r="7">
      <c r="A7" s="29" t="str">
        <f>HYPERLINK("https://cdn-shop.adafruit.com/datasheets/lpd8806+english.pdf","LPD8806")</f>
        <v>LPD8806</v>
      </c>
      <c r="B7" s="87">
        <v>9375.0</v>
      </c>
      <c r="C7" s="85">
        <v>3.0</v>
      </c>
      <c r="D7" s="85">
        <v>8.0</v>
      </c>
      <c r="E7" s="85">
        <v>7.0</v>
      </c>
      <c r="F7" s="85" t="s">
        <v>81</v>
      </c>
      <c r="G7" s="120">
        <v>2.0E7</v>
      </c>
      <c r="H7" s="121">
        <v>32.0</v>
      </c>
      <c r="I7" s="122">
        <f t="shared" si="1"/>
        <v>625000</v>
      </c>
      <c r="J7" s="123">
        <v>12.0</v>
      </c>
      <c r="K7" s="123">
        <v>5.0</v>
      </c>
      <c r="L7" s="124"/>
      <c r="M7" s="123">
        <v>5.0</v>
      </c>
      <c r="N7" s="126">
        <v>20.0</v>
      </c>
      <c r="O7" s="93"/>
      <c r="P7" s="85" t="s">
        <v>987</v>
      </c>
      <c r="Q7" s="94" t="s">
        <v>988</v>
      </c>
      <c r="R7" s="85" t="s">
        <v>993</v>
      </c>
      <c r="S7" s="85" t="s">
        <v>157</v>
      </c>
      <c r="T7" s="85">
        <v>2000.0</v>
      </c>
      <c r="U7" s="95">
        <v>2011.0</v>
      </c>
      <c r="V7" s="9" t="s">
        <v>994</v>
      </c>
      <c r="W7" s="23" t="s">
        <v>995</v>
      </c>
      <c r="X7" s="13" t="str">
        <f>HYPERLINK("https://cdn-shop.adafruit.com/datasheets/lpd8806+english.pdf","https://cdn-shop.adafruit.com/datasheets/lpd8806+english.pdf")</f>
        <v>https://cdn-shop.adafruit.com/datasheets/lpd8806+english.pdf</v>
      </c>
      <c r="Y7" s="13" t="s">
        <v>996</v>
      </c>
    </row>
    <row r="8">
      <c r="A8" s="111" t="s">
        <v>997</v>
      </c>
      <c r="B8" s="87">
        <v>9766.0</v>
      </c>
      <c r="C8" s="85">
        <v>3.0</v>
      </c>
      <c r="D8" s="85">
        <v>10.0</v>
      </c>
      <c r="E8" s="15"/>
      <c r="F8" s="85" t="s">
        <v>81</v>
      </c>
      <c r="G8" s="120"/>
      <c r="H8" s="129"/>
      <c r="I8" s="122" t="str">
        <f t="shared" si="1"/>
        <v/>
      </c>
      <c r="J8" s="123">
        <v>12.0</v>
      </c>
      <c r="K8" s="123"/>
      <c r="L8" s="130"/>
      <c r="M8" s="123"/>
      <c r="N8" s="131"/>
      <c r="O8" s="100"/>
      <c r="P8" s="85"/>
      <c r="Q8" s="94"/>
      <c r="R8" s="85"/>
      <c r="S8" s="85"/>
      <c r="T8" s="85"/>
      <c r="U8" s="85"/>
      <c r="V8" s="9"/>
      <c r="W8" s="15"/>
      <c r="X8" s="9"/>
      <c r="Y8" s="13" t="s">
        <v>998</v>
      </c>
    </row>
    <row r="9">
      <c r="A9" s="111" t="s">
        <v>999</v>
      </c>
      <c r="B9" s="87">
        <v>1000.0</v>
      </c>
      <c r="C9" s="85">
        <v>3.0</v>
      </c>
      <c r="D9" s="85">
        <v>16.0</v>
      </c>
      <c r="E9" s="15"/>
      <c r="F9" s="85" t="s">
        <v>81</v>
      </c>
      <c r="G9" s="120"/>
      <c r="H9" s="129"/>
      <c r="I9" s="122" t="str">
        <f t="shared" si="1"/>
        <v/>
      </c>
      <c r="J9" s="123">
        <v>24.0</v>
      </c>
      <c r="K9" s="123"/>
      <c r="L9" s="130"/>
      <c r="M9" s="123"/>
      <c r="N9" s="131"/>
      <c r="O9" s="100"/>
      <c r="P9" s="85"/>
      <c r="Q9" s="94"/>
      <c r="R9" s="85"/>
      <c r="S9" s="85"/>
      <c r="T9" s="85"/>
      <c r="U9" s="85"/>
      <c r="V9" s="9"/>
      <c r="W9" s="15"/>
      <c r="X9" s="9"/>
      <c r="Y9" s="13" t="s">
        <v>1000</v>
      </c>
    </row>
    <row r="10">
      <c r="A10" s="29" t="str">
        <f>HYPERLINK("http://www.my-semi.com/file/MY9231_BF_0.91.pdf","MY9231")</f>
        <v>MY9231</v>
      </c>
      <c r="B10" s="87">
        <v>2000.0</v>
      </c>
      <c r="C10" s="85">
        <v>3.0</v>
      </c>
      <c r="D10" s="85" t="s">
        <v>1001</v>
      </c>
      <c r="E10" s="15"/>
      <c r="F10" s="85" t="s">
        <v>81</v>
      </c>
      <c r="G10" s="120">
        <v>2.0E7</v>
      </c>
      <c r="H10" s="129"/>
      <c r="I10" s="122" t="str">
        <f t="shared" si="1"/>
        <v/>
      </c>
      <c r="J10" s="123">
        <v>17.0</v>
      </c>
      <c r="K10" s="123">
        <v>5.0</v>
      </c>
      <c r="L10" s="130"/>
      <c r="M10" s="123">
        <v>5.0</v>
      </c>
      <c r="N10" s="131">
        <v>350.0</v>
      </c>
      <c r="O10" s="100"/>
      <c r="P10" s="85" t="s">
        <v>1002</v>
      </c>
      <c r="Q10" s="94" t="s">
        <v>988</v>
      </c>
      <c r="R10" s="85" t="s">
        <v>1003</v>
      </c>
      <c r="S10" s="85" t="s">
        <v>157</v>
      </c>
      <c r="T10" s="85">
        <v>2010.0</v>
      </c>
      <c r="U10" s="85">
        <v>2010.0</v>
      </c>
      <c r="V10" s="9"/>
      <c r="W10" s="15"/>
      <c r="X10" s="30" t="s">
        <v>1004</v>
      </c>
      <c r="Y10" s="13" t="s">
        <v>1005</v>
      </c>
    </row>
    <row r="11">
      <c r="A11" s="29" t="s">
        <v>1006</v>
      </c>
      <c r="B11" s="87">
        <v>2000.0</v>
      </c>
      <c r="C11" s="85">
        <v>4.0</v>
      </c>
      <c r="D11" s="85">
        <v>16.0</v>
      </c>
      <c r="E11" s="85"/>
      <c r="F11" s="85" t="s">
        <v>81</v>
      </c>
      <c r="G11" s="120"/>
      <c r="H11" s="132"/>
      <c r="I11" s="122" t="str">
        <f t="shared" si="1"/>
        <v/>
      </c>
      <c r="J11" s="123"/>
      <c r="K11" s="123"/>
      <c r="L11" s="130"/>
      <c r="M11" s="123"/>
      <c r="N11" s="131"/>
      <c r="O11" s="133"/>
      <c r="P11" s="85"/>
      <c r="Q11" s="94"/>
      <c r="R11" s="85"/>
      <c r="S11" s="85"/>
      <c r="T11" s="102"/>
      <c r="U11" s="85"/>
      <c r="V11" s="9"/>
      <c r="W11" s="15"/>
      <c r="X11" s="105"/>
      <c r="Y11" s="13" t="s">
        <v>1007</v>
      </c>
    </row>
    <row r="12">
      <c r="A12" s="111" t="s">
        <v>1008</v>
      </c>
      <c r="B12" s="87">
        <v>4687.0</v>
      </c>
      <c r="C12" s="85">
        <v>3.0</v>
      </c>
      <c r="D12" s="112">
        <v>8.0</v>
      </c>
      <c r="E12" s="112">
        <v>8.0</v>
      </c>
      <c r="F12" s="85" t="s">
        <v>81</v>
      </c>
      <c r="G12" s="120">
        <v>2.0E7</v>
      </c>
      <c r="H12" s="121">
        <v>32.0</v>
      </c>
      <c r="I12" s="122">
        <f t="shared" si="1"/>
        <v>625000</v>
      </c>
      <c r="J12" s="123">
        <v>12.0</v>
      </c>
      <c r="K12" s="123">
        <v>4.5</v>
      </c>
      <c r="L12" s="130">
        <v>3.5</v>
      </c>
      <c r="M12" s="123">
        <v>5.0</v>
      </c>
      <c r="N12" s="131">
        <v>45.0</v>
      </c>
      <c r="O12" s="101"/>
      <c r="P12" s="85" t="s">
        <v>1009</v>
      </c>
      <c r="Q12" s="94" t="s">
        <v>1010</v>
      </c>
      <c r="R12" s="85" t="s">
        <v>1008</v>
      </c>
      <c r="S12" s="85" t="s">
        <v>157</v>
      </c>
      <c r="T12" s="85">
        <v>1024.0</v>
      </c>
      <c r="U12" s="95">
        <v>2010.0</v>
      </c>
      <c r="V12" s="9" t="s">
        <v>1011</v>
      </c>
      <c r="W12" s="15"/>
      <c r="X12" s="9"/>
      <c r="Y12" s="13" t="s">
        <v>1012</v>
      </c>
    </row>
    <row r="13">
      <c r="A13" s="111" t="s">
        <v>1013</v>
      </c>
      <c r="B13" s="87">
        <v>1000.0</v>
      </c>
      <c r="C13" s="85">
        <v>3.0</v>
      </c>
      <c r="D13" s="112">
        <v>12.0</v>
      </c>
      <c r="E13" s="112"/>
      <c r="F13" s="85" t="s">
        <v>157</v>
      </c>
      <c r="G13" s="120"/>
      <c r="H13" s="121"/>
      <c r="I13" s="122" t="str">
        <f t="shared" si="1"/>
        <v/>
      </c>
      <c r="J13" s="123"/>
      <c r="K13" s="123"/>
      <c r="L13" s="130"/>
      <c r="M13" s="123"/>
      <c r="N13" s="131"/>
      <c r="O13" s="101"/>
      <c r="P13" s="85" t="s">
        <v>1014</v>
      </c>
      <c r="Q13" s="94" t="s">
        <v>1015</v>
      </c>
      <c r="R13" s="85"/>
      <c r="S13" s="85"/>
      <c r="T13" s="85"/>
      <c r="U13" s="95"/>
      <c r="V13" s="9"/>
      <c r="W13" s="15"/>
      <c r="X13" s="9"/>
      <c r="Y13" s="13" t="s">
        <v>1016</v>
      </c>
    </row>
    <row r="14">
      <c r="A14" s="111" t="s">
        <v>1017</v>
      </c>
      <c r="B14" s="87">
        <v>1200.0</v>
      </c>
      <c r="C14" s="85">
        <v>3.0</v>
      </c>
      <c r="D14" s="85">
        <v>8.0</v>
      </c>
      <c r="E14" s="85"/>
      <c r="F14" s="85" t="s">
        <v>157</v>
      </c>
      <c r="G14" s="120">
        <v>800000.0</v>
      </c>
      <c r="H14" s="121">
        <v>24.0</v>
      </c>
      <c r="I14" s="122">
        <f t="shared" si="1"/>
        <v>33333.33333</v>
      </c>
      <c r="J14" s="123"/>
      <c r="K14" s="123">
        <v>5.0</v>
      </c>
      <c r="L14" s="130"/>
      <c r="M14" s="123"/>
      <c r="N14" s="131"/>
      <c r="O14" s="133">
        <v>1.0</v>
      </c>
      <c r="P14" s="85"/>
      <c r="Q14" s="94"/>
      <c r="R14" s="85"/>
      <c r="S14" s="85"/>
      <c r="T14" s="102"/>
      <c r="U14" s="85"/>
      <c r="V14" s="9"/>
      <c r="W14" s="15"/>
      <c r="X14" s="13" t="s">
        <v>1018</v>
      </c>
      <c r="Y14" s="13" t="s">
        <v>884</v>
      </c>
    </row>
    <row r="15">
      <c r="A15" s="111" t="s">
        <v>960</v>
      </c>
      <c r="B15" s="87">
        <v>1200.0</v>
      </c>
      <c r="C15" s="85">
        <v>4.0</v>
      </c>
      <c r="D15" s="85">
        <v>8.0</v>
      </c>
      <c r="E15" s="85"/>
      <c r="F15" s="85" t="s">
        <v>157</v>
      </c>
      <c r="G15" s="120"/>
      <c r="H15" s="132"/>
      <c r="I15" s="122" t="str">
        <f t="shared" si="1"/>
        <v/>
      </c>
      <c r="J15" s="123"/>
      <c r="K15" s="123"/>
      <c r="L15" s="130"/>
      <c r="M15" s="123"/>
      <c r="N15" s="131"/>
      <c r="O15" s="133"/>
      <c r="P15" s="85"/>
      <c r="Q15" s="94"/>
      <c r="R15" s="85"/>
      <c r="S15" s="85"/>
      <c r="T15" s="102"/>
      <c r="U15" s="85"/>
      <c r="V15" s="9"/>
      <c r="W15" s="15"/>
      <c r="X15" s="105"/>
      <c r="Y15" s="13" t="s">
        <v>963</v>
      </c>
    </row>
    <row r="16">
      <c r="A16" s="111" t="s">
        <v>1019</v>
      </c>
      <c r="B16" s="87">
        <v>3300.0</v>
      </c>
      <c r="C16" s="85">
        <v>4.0</v>
      </c>
      <c r="D16" s="85">
        <v>8.0</v>
      </c>
      <c r="E16" s="85"/>
      <c r="F16" s="85" t="s">
        <v>157</v>
      </c>
      <c r="G16" s="120"/>
      <c r="H16" s="132"/>
      <c r="I16" s="122" t="str">
        <f t="shared" si="1"/>
        <v/>
      </c>
      <c r="J16" s="123"/>
      <c r="K16" s="123"/>
      <c r="L16" s="130"/>
      <c r="M16" s="123"/>
      <c r="N16" s="131"/>
      <c r="O16" s="133"/>
      <c r="P16" s="85" t="s">
        <v>1020</v>
      </c>
      <c r="Q16" s="94" t="s">
        <v>1021</v>
      </c>
      <c r="R16" s="85"/>
      <c r="S16" s="85"/>
      <c r="T16" s="102"/>
      <c r="U16" s="85"/>
      <c r="V16" s="9"/>
      <c r="W16" s="15"/>
      <c r="X16" s="105"/>
      <c r="Y16" s="13" t="s">
        <v>1022</v>
      </c>
    </row>
    <row r="17">
      <c r="A17" s="111" t="s">
        <v>1023</v>
      </c>
      <c r="B17" s="87">
        <v>1200.0</v>
      </c>
      <c r="C17" s="85">
        <v>3.0</v>
      </c>
      <c r="D17" s="85">
        <v>8.0</v>
      </c>
      <c r="E17" s="85"/>
      <c r="F17" s="85" t="s">
        <v>157</v>
      </c>
      <c r="G17" s="120"/>
      <c r="H17" s="132"/>
      <c r="I17" s="122" t="str">
        <f t="shared" si="1"/>
        <v/>
      </c>
      <c r="J17" s="123"/>
      <c r="K17" s="123"/>
      <c r="L17" s="130"/>
      <c r="M17" s="123"/>
      <c r="N17" s="131"/>
      <c r="O17" s="133"/>
      <c r="P17" s="85" t="s">
        <v>978</v>
      </c>
      <c r="Q17" s="94" t="s">
        <v>979</v>
      </c>
      <c r="R17" s="85"/>
      <c r="S17" s="85"/>
      <c r="T17" s="102"/>
      <c r="U17" s="85"/>
      <c r="V17" s="9"/>
      <c r="W17" s="15"/>
      <c r="X17" s="105"/>
      <c r="Y17" s="13" t="s">
        <v>1024</v>
      </c>
    </row>
    <row r="18">
      <c r="A18" s="134" t="s">
        <v>1025</v>
      </c>
      <c r="B18" s="87">
        <v>1200.0</v>
      </c>
      <c r="C18" s="85">
        <v>3.0</v>
      </c>
      <c r="D18" s="85">
        <v>8.0</v>
      </c>
      <c r="E18" s="85"/>
      <c r="F18" s="85" t="s">
        <v>157</v>
      </c>
      <c r="G18" s="120"/>
      <c r="H18" s="132"/>
      <c r="I18" s="122" t="str">
        <f t="shared" si="1"/>
        <v/>
      </c>
      <c r="J18" s="123"/>
      <c r="K18" s="123"/>
      <c r="L18" s="130"/>
      <c r="M18" s="123"/>
      <c r="N18" s="131"/>
      <c r="O18" s="133"/>
      <c r="P18" s="85" t="s">
        <v>1026</v>
      </c>
      <c r="Q18" s="94" t="s">
        <v>988</v>
      </c>
      <c r="R18" s="85"/>
      <c r="S18" s="85"/>
      <c r="T18" s="102"/>
      <c r="U18" s="85"/>
      <c r="V18" s="9"/>
      <c r="W18" s="15"/>
      <c r="X18" s="105"/>
      <c r="Y18" s="13" t="s">
        <v>1027</v>
      </c>
    </row>
    <row r="19">
      <c r="A19" s="111" t="s">
        <v>1028</v>
      </c>
      <c r="B19" s="87">
        <v>2500.0</v>
      </c>
      <c r="C19" s="85">
        <v>3.0</v>
      </c>
      <c r="D19" s="85">
        <v>8.0</v>
      </c>
      <c r="E19" s="85"/>
      <c r="F19" s="85" t="s">
        <v>81</v>
      </c>
      <c r="G19" s="120"/>
      <c r="H19" s="132"/>
      <c r="I19" s="122" t="str">
        <f t="shared" si="1"/>
        <v/>
      </c>
      <c r="J19" s="123"/>
      <c r="K19" s="123"/>
      <c r="L19" s="130"/>
      <c r="M19" s="123"/>
      <c r="N19" s="131"/>
      <c r="O19" s="133"/>
      <c r="P19" s="85" t="s">
        <v>1026</v>
      </c>
      <c r="Q19" s="94" t="s">
        <v>988</v>
      </c>
      <c r="R19" s="85"/>
      <c r="S19" s="85"/>
      <c r="T19" s="102"/>
      <c r="U19" s="85"/>
      <c r="V19" s="9"/>
      <c r="W19" s="15"/>
      <c r="X19" s="105"/>
      <c r="Y19" s="13" t="s">
        <v>1029</v>
      </c>
    </row>
    <row r="20">
      <c r="A20" s="111" t="s">
        <v>1030</v>
      </c>
      <c r="B20" s="87"/>
      <c r="C20" s="85">
        <v>3.0</v>
      </c>
      <c r="D20" s="85"/>
      <c r="E20" s="85"/>
      <c r="F20" s="85"/>
      <c r="G20" s="120"/>
      <c r="H20" s="132"/>
      <c r="I20" s="122" t="str">
        <f t="shared" si="1"/>
        <v/>
      </c>
      <c r="J20" s="123"/>
      <c r="K20" s="123"/>
      <c r="L20" s="130"/>
      <c r="M20" s="123"/>
      <c r="N20" s="131"/>
      <c r="O20" s="133"/>
      <c r="P20" s="85"/>
      <c r="Q20" s="94"/>
      <c r="R20" s="85"/>
      <c r="S20" s="85"/>
      <c r="T20" s="102"/>
      <c r="U20" s="85"/>
      <c r="V20" s="9" t="s">
        <v>1031</v>
      </c>
      <c r="W20" s="15"/>
      <c r="X20" s="105"/>
      <c r="Y20" s="105"/>
    </row>
    <row r="21">
      <c r="A21" s="29" t="s">
        <v>1032</v>
      </c>
      <c r="B21" s="87">
        <v>1000.0</v>
      </c>
      <c r="C21" s="85">
        <v>3.0</v>
      </c>
      <c r="D21" s="85">
        <v>12.0</v>
      </c>
      <c r="E21" s="85"/>
      <c r="F21" s="85" t="s">
        <v>157</v>
      </c>
      <c r="G21" s="120"/>
      <c r="H21" s="132"/>
      <c r="I21" s="122" t="str">
        <f t="shared" si="1"/>
        <v/>
      </c>
      <c r="J21" s="123"/>
      <c r="K21" s="123"/>
      <c r="L21" s="130"/>
      <c r="M21" s="123"/>
      <c r="N21" s="131"/>
      <c r="O21" s="133"/>
      <c r="P21" s="85" t="s">
        <v>1014</v>
      </c>
      <c r="Q21" s="94" t="s">
        <v>1015</v>
      </c>
      <c r="R21" s="85"/>
      <c r="S21" s="85"/>
      <c r="T21" s="102"/>
      <c r="U21" s="85"/>
      <c r="V21" s="9"/>
      <c r="W21" s="15"/>
      <c r="X21" s="105"/>
      <c r="Y21" s="13" t="s">
        <v>1033</v>
      </c>
    </row>
    <row r="22">
      <c r="A22" s="111" t="s">
        <v>1034</v>
      </c>
      <c r="B22" s="87">
        <v>400.0</v>
      </c>
      <c r="C22" s="85">
        <v>3.0</v>
      </c>
      <c r="D22" s="85">
        <v>8.0</v>
      </c>
      <c r="E22" s="85"/>
      <c r="F22" s="85" t="s">
        <v>157</v>
      </c>
      <c r="G22" s="135"/>
      <c r="H22" s="132"/>
      <c r="I22" s="122" t="str">
        <f t="shared" si="1"/>
        <v/>
      </c>
      <c r="J22" s="123"/>
      <c r="K22" s="123"/>
      <c r="L22" s="124"/>
      <c r="M22" s="125"/>
      <c r="N22" s="136"/>
      <c r="O22" s="137"/>
      <c r="P22" s="85" t="s">
        <v>978</v>
      </c>
      <c r="Q22" s="94" t="s">
        <v>979</v>
      </c>
      <c r="R22" s="85"/>
      <c r="S22" s="85"/>
      <c r="T22" s="102"/>
      <c r="U22" s="127"/>
      <c r="V22" s="9"/>
      <c r="W22" s="15"/>
      <c r="X22" s="9"/>
      <c r="Y22" s="13" t="s">
        <v>1035</v>
      </c>
    </row>
    <row r="23">
      <c r="A23" s="29" t="str">
        <f>HYPERLINK("http://www.ledlightmake.com/ledlightmake_serv/TM1804%20Datasheet.pdf","TM1804")</f>
        <v>TM1804</v>
      </c>
      <c r="B23" s="87">
        <f>1/0.0035</f>
        <v>285.7142857</v>
      </c>
      <c r="C23" s="85">
        <v>3.0</v>
      </c>
      <c r="D23" s="85">
        <v>8.0</v>
      </c>
      <c r="E23" s="85"/>
      <c r="F23" s="85" t="s">
        <v>157</v>
      </c>
      <c r="G23" s="135">
        <v>800000.0</v>
      </c>
      <c r="H23" s="132">
        <v>24.0</v>
      </c>
      <c r="I23" s="122">
        <f t="shared" si="1"/>
        <v>33333.33333</v>
      </c>
      <c r="J23" s="123">
        <v>24.0</v>
      </c>
      <c r="K23" s="123">
        <v>5.0</v>
      </c>
      <c r="L23" s="124">
        <v>3.8</v>
      </c>
      <c r="M23" s="125">
        <v>5.0</v>
      </c>
      <c r="N23" s="136">
        <v>60.0</v>
      </c>
      <c r="O23" s="137">
        <v>3.0</v>
      </c>
      <c r="P23" s="85" t="s">
        <v>978</v>
      </c>
      <c r="Q23" s="94" t="s">
        <v>979</v>
      </c>
      <c r="R23" s="85" t="s">
        <v>842</v>
      </c>
      <c r="S23" s="85" t="s">
        <v>157</v>
      </c>
      <c r="T23" s="102"/>
      <c r="U23" s="127"/>
      <c r="V23" s="15"/>
      <c r="W23" s="15"/>
      <c r="X23" s="13" t="s">
        <v>1036</v>
      </c>
      <c r="Y23" s="13" t="s">
        <v>1037</v>
      </c>
    </row>
    <row r="24">
      <c r="A24" s="111" t="s">
        <v>1038</v>
      </c>
      <c r="B24" s="87">
        <v>400.0</v>
      </c>
      <c r="C24" s="85">
        <v>3.0</v>
      </c>
      <c r="D24" s="85">
        <v>8.0</v>
      </c>
      <c r="E24" s="85"/>
      <c r="F24" s="85" t="s">
        <v>157</v>
      </c>
      <c r="G24" s="120"/>
      <c r="H24" s="132"/>
      <c r="I24" s="122" t="str">
        <f t="shared" si="1"/>
        <v/>
      </c>
      <c r="J24" s="123"/>
      <c r="K24" s="123"/>
      <c r="L24" s="130"/>
      <c r="M24" s="123"/>
      <c r="N24" s="131"/>
      <c r="O24" s="133"/>
      <c r="P24" s="85" t="s">
        <v>1039</v>
      </c>
      <c r="Q24" s="94" t="s">
        <v>1010</v>
      </c>
      <c r="R24" s="85"/>
      <c r="S24" s="85"/>
      <c r="T24" s="102"/>
      <c r="U24" s="85"/>
      <c r="V24" s="9"/>
      <c r="W24" s="15"/>
      <c r="X24" s="105"/>
      <c r="Y24" s="13" t="s">
        <v>1040</v>
      </c>
    </row>
    <row r="25">
      <c r="A25" s="29" t="s">
        <v>1041</v>
      </c>
      <c r="B25" s="87">
        <v>1000.0</v>
      </c>
      <c r="C25" s="85">
        <v>4.0</v>
      </c>
      <c r="D25" s="85">
        <v>8.0</v>
      </c>
      <c r="E25" s="85"/>
      <c r="F25" s="85" t="s">
        <v>157</v>
      </c>
      <c r="G25" s="120"/>
      <c r="H25" s="132"/>
      <c r="I25" s="122" t="str">
        <f t="shared" si="1"/>
        <v/>
      </c>
      <c r="J25" s="123"/>
      <c r="K25" s="123"/>
      <c r="L25" s="130"/>
      <c r="M25" s="123"/>
      <c r="N25" s="131"/>
      <c r="O25" s="133"/>
      <c r="P25" s="85" t="s">
        <v>978</v>
      </c>
      <c r="Q25" s="94" t="s">
        <v>979</v>
      </c>
      <c r="R25" s="85"/>
      <c r="S25" s="85"/>
      <c r="T25" s="102"/>
      <c r="U25" s="85"/>
      <c r="V25" s="9"/>
      <c r="W25" s="15"/>
      <c r="X25" s="105"/>
      <c r="Y25" s="13" t="s">
        <v>1042</v>
      </c>
    </row>
    <row r="26">
      <c r="A26" s="111" t="s">
        <v>1043</v>
      </c>
      <c r="B26" s="87">
        <v>7000.0</v>
      </c>
      <c r="C26" s="85">
        <v>3.0</v>
      </c>
      <c r="D26" s="85">
        <v>8.0</v>
      </c>
      <c r="E26" s="85"/>
      <c r="F26" s="85" t="s">
        <v>157</v>
      </c>
      <c r="G26" s="120"/>
      <c r="H26" s="132"/>
      <c r="I26" s="122" t="str">
        <f t="shared" si="1"/>
        <v/>
      </c>
      <c r="J26" s="123"/>
      <c r="K26" s="123"/>
      <c r="L26" s="130"/>
      <c r="M26" s="123"/>
      <c r="N26" s="131"/>
      <c r="O26" s="133"/>
      <c r="P26" s="85" t="s">
        <v>978</v>
      </c>
      <c r="Q26" s="94" t="s">
        <v>979</v>
      </c>
      <c r="R26" s="85"/>
      <c r="S26" s="85"/>
      <c r="T26" s="102"/>
      <c r="U26" s="85"/>
      <c r="V26" s="9"/>
      <c r="W26" s="15"/>
      <c r="X26" s="105"/>
      <c r="Y26" s="13" t="s">
        <v>1044</v>
      </c>
    </row>
    <row r="27">
      <c r="A27" s="111" t="s">
        <v>1045</v>
      </c>
      <c r="B27" s="87">
        <v>666.0</v>
      </c>
      <c r="C27" s="85">
        <v>3.0</v>
      </c>
      <c r="D27" s="85">
        <v>8.0</v>
      </c>
      <c r="E27" s="85"/>
      <c r="F27" s="85" t="s">
        <v>157</v>
      </c>
      <c r="G27" s="120"/>
      <c r="H27" s="132"/>
      <c r="I27" s="122" t="str">
        <f t="shared" si="1"/>
        <v/>
      </c>
      <c r="J27" s="123"/>
      <c r="K27" s="123"/>
      <c r="L27" s="130"/>
      <c r="M27" s="123"/>
      <c r="N27" s="131"/>
      <c r="O27" s="133"/>
      <c r="P27" s="85" t="s">
        <v>1046</v>
      </c>
      <c r="Q27" s="94" t="s">
        <v>1047</v>
      </c>
      <c r="R27" s="85"/>
      <c r="S27" s="85"/>
      <c r="T27" s="102"/>
      <c r="U27" s="85"/>
      <c r="V27" s="9"/>
      <c r="W27" s="15"/>
      <c r="X27" s="105"/>
      <c r="Y27" s="13" t="s">
        <v>1048</v>
      </c>
    </row>
    <row r="28">
      <c r="A28" s="111" t="s">
        <v>867</v>
      </c>
      <c r="B28" s="87">
        <v>400.0</v>
      </c>
      <c r="C28" s="85">
        <v>3.0</v>
      </c>
      <c r="D28" s="85">
        <v>8.0</v>
      </c>
      <c r="E28" s="85"/>
      <c r="F28" s="85" t="s">
        <v>157</v>
      </c>
      <c r="G28" s="120"/>
      <c r="H28" s="132"/>
      <c r="I28" s="122" t="str">
        <f t="shared" si="1"/>
        <v/>
      </c>
      <c r="J28" s="123"/>
      <c r="K28" s="123"/>
      <c r="L28" s="130"/>
      <c r="M28" s="123"/>
      <c r="N28" s="131"/>
      <c r="O28" s="133"/>
      <c r="P28" s="85" t="s">
        <v>978</v>
      </c>
      <c r="Q28" s="94" t="s">
        <v>979</v>
      </c>
      <c r="R28" s="85"/>
      <c r="S28" s="85"/>
      <c r="T28" s="102"/>
      <c r="U28" s="85"/>
      <c r="V28" s="9"/>
      <c r="W28" s="15"/>
      <c r="X28" s="105"/>
      <c r="Y28" s="138" t="s">
        <v>1049</v>
      </c>
    </row>
    <row r="29">
      <c r="A29" s="111" t="s">
        <v>1050</v>
      </c>
      <c r="B29" s="87">
        <v>1500.0</v>
      </c>
      <c r="C29" s="85">
        <v>3.0</v>
      </c>
      <c r="D29" s="85">
        <v>8.0</v>
      </c>
      <c r="E29" s="85"/>
      <c r="F29" s="85" t="s">
        <v>157</v>
      </c>
      <c r="G29" s="120"/>
      <c r="H29" s="132"/>
      <c r="I29" s="122" t="str">
        <f t="shared" si="1"/>
        <v/>
      </c>
      <c r="J29" s="123"/>
      <c r="K29" s="123"/>
      <c r="L29" s="130"/>
      <c r="M29" s="123"/>
      <c r="N29" s="131"/>
      <c r="O29" s="133"/>
      <c r="P29" s="85" t="s">
        <v>978</v>
      </c>
      <c r="Q29" s="94" t="s">
        <v>979</v>
      </c>
      <c r="R29" s="85"/>
      <c r="S29" s="85"/>
      <c r="T29" s="102"/>
      <c r="U29" s="85"/>
      <c r="V29" s="9"/>
      <c r="W29" s="15"/>
      <c r="X29" s="105"/>
      <c r="Y29" s="13" t="s">
        <v>1051</v>
      </c>
    </row>
    <row r="30">
      <c r="A30" s="111" t="s">
        <v>1052</v>
      </c>
      <c r="B30" s="87">
        <v>1600.0</v>
      </c>
      <c r="C30" s="85">
        <v>3.0</v>
      </c>
      <c r="D30" s="85">
        <v>8.0</v>
      </c>
      <c r="E30" s="85"/>
      <c r="F30" s="85" t="s">
        <v>157</v>
      </c>
      <c r="G30" s="120"/>
      <c r="H30" s="132"/>
      <c r="I30" s="122" t="str">
        <f t="shared" si="1"/>
        <v/>
      </c>
      <c r="J30" s="123"/>
      <c r="K30" s="123"/>
      <c r="L30" s="130"/>
      <c r="M30" s="123"/>
      <c r="N30" s="131"/>
      <c r="O30" s="133"/>
      <c r="P30" s="85" t="s">
        <v>978</v>
      </c>
      <c r="Q30" s="94" t="s">
        <v>979</v>
      </c>
      <c r="R30" s="85"/>
      <c r="S30" s="85"/>
      <c r="T30" s="102"/>
      <c r="U30" s="85"/>
      <c r="V30" s="9"/>
      <c r="W30" s="15"/>
      <c r="X30" s="105"/>
      <c r="Y30" s="13" t="s">
        <v>1053</v>
      </c>
    </row>
    <row r="31">
      <c r="A31" s="111" t="s">
        <v>1054</v>
      </c>
      <c r="B31" s="87">
        <v>1800.0</v>
      </c>
      <c r="C31" s="85">
        <v>4.0</v>
      </c>
      <c r="D31" s="85">
        <v>8.0</v>
      </c>
      <c r="E31" s="85"/>
      <c r="F31" s="85" t="s">
        <v>157</v>
      </c>
      <c r="G31" s="120"/>
      <c r="H31" s="132"/>
      <c r="I31" s="122" t="str">
        <f t="shared" si="1"/>
        <v/>
      </c>
      <c r="J31" s="123"/>
      <c r="K31" s="123"/>
      <c r="L31" s="130"/>
      <c r="M31" s="123"/>
      <c r="N31" s="131"/>
      <c r="O31" s="133"/>
      <c r="P31" s="85" t="s">
        <v>978</v>
      </c>
      <c r="Q31" s="94" t="s">
        <v>979</v>
      </c>
      <c r="R31" s="85"/>
      <c r="S31" s="85"/>
      <c r="T31" s="102"/>
      <c r="U31" s="85"/>
      <c r="V31" s="9"/>
      <c r="W31" s="15"/>
      <c r="X31" s="105"/>
      <c r="Y31" s="13" t="s">
        <v>1055</v>
      </c>
    </row>
    <row r="32">
      <c r="A32" s="5" t="s">
        <v>1054</v>
      </c>
      <c r="B32" s="87">
        <v>1200.0</v>
      </c>
      <c r="C32" s="85">
        <v>4.0</v>
      </c>
      <c r="D32" s="85">
        <v>8.0</v>
      </c>
      <c r="E32" s="85"/>
      <c r="F32" s="85" t="s">
        <v>157</v>
      </c>
      <c r="G32" s="120">
        <v>800000.0</v>
      </c>
      <c r="H32" s="132"/>
      <c r="I32" s="122" t="str">
        <f t="shared" si="1"/>
        <v/>
      </c>
      <c r="J32" s="123">
        <v>30.0</v>
      </c>
      <c r="K32" s="123">
        <v>5.0</v>
      </c>
      <c r="L32" s="130"/>
      <c r="M32" s="123"/>
      <c r="N32" s="131">
        <v>17.0</v>
      </c>
      <c r="O32" s="133"/>
      <c r="P32" s="85" t="s">
        <v>978</v>
      </c>
      <c r="Q32" s="94" t="s">
        <v>979</v>
      </c>
      <c r="R32" s="85"/>
      <c r="S32" s="85" t="s">
        <v>157</v>
      </c>
      <c r="T32" s="102"/>
      <c r="U32" s="85"/>
      <c r="V32" s="9"/>
      <c r="W32" s="15"/>
      <c r="X32" s="105"/>
      <c r="Y32" s="13" t="s">
        <v>1056</v>
      </c>
    </row>
    <row r="33">
      <c r="A33" s="111" t="s">
        <v>1057</v>
      </c>
      <c r="B33" s="87">
        <v>3000.0</v>
      </c>
      <c r="C33" s="85">
        <v>3.0</v>
      </c>
      <c r="D33" s="85">
        <v>8.0</v>
      </c>
      <c r="E33" s="85"/>
      <c r="F33" s="85" t="s">
        <v>157</v>
      </c>
      <c r="G33" s="120"/>
      <c r="H33" s="132"/>
      <c r="I33" s="122" t="str">
        <f t="shared" si="1"/>
        <v/>
      </c>
      <c r="J33" s="123"/>
      <c r="K33" s="123"/>
      <c r="L33" s="130"/>
      <c r="M33" s="123"/>
      <c r="N33" s="131"/>
      <c r="O33" s="133"/>
      <c r="P33" s="85" t="s">
        <v>978</v>
      </c>
      <c r="Q33" s="94" t="s">
        <v>979</v>
      </c>
      <c r="R33" s="85"/>
      <c r="S33" s="85"/>
      <c r="T33" s="102"/>
      <c r="U33" s="85"/>
      <c r="V33" s="9"/>
      <c r="W33" s="15"/>
      <c r="X33" s="105"/>
      <c r="Y33" s="13" t="s">
        <v>1058</v>
      </c>
    </row>
    <row r="34">
      <c r="A34" s="29" t="str">
        <f>HYPERLINK("https://www.dhgate.com/product/ucs8903-ic-3-channel-led-constant-current/421634760.html","UCS8903")</f>
        <v>UCS8903</v>
      </c>
      <c r="B34" s="87">
        <v>1000.0</v>
      </c>
      <c r="C34" s="85">
        <v>3.0</v>
      </c>
      <c r="D34" s="85">
        <v>16.0</v>
      </c>
      <c r="E34" s="85"/>
      <c r="F34" s="85" t="s">
        <v>157</v>
      </c>
      <c r="G34" s="120">
        <v>800000.0</v>
      </c>
      <c r="H34" s="121">
        <v>48.0</v>
      </c>
      <c r="I34" s="122">
        <f t="shared" si="1"/>
        <v>16666.66667</v>
      </c>
      <c r="J34" s="123">
        <v>26.0</v>
      </c>
      <c r="K34" s="123">
        <v>5.0</v>
      </c>
      <c r="L34" s="130">
        <v>3.0</v>
      </c>
      <c r="M34" s="123">
        <v>5.0</v>
      </c>
      <c r="N34" s="131">
        <v>17.0</v>
      </c>
      <c r="O34" s="133">
        <v>1.0</v>
      </c>
      <c r="P34" s="85" t="s">
        <v>978</v>
      </c>
      <c r="Q34" s="94" t="s">
        <v>979</v>
      </c>
      <c r="R34" s="85" t="s">
        <v>1059</v>
      </c>
      <c r="S34" s="85" t="s">
        <v>157</v>
      </c>
      <c r="T34" s="102"/>
      <c r="U34" s="85">
        <v>2013.0</v>
      </c>
      <c r="V34" s="9" t="s">
        <v>1060</v>
      </c>
      <c r="W34" s="15"/>
      <c r="X34" s="13" t="s">
        <v>1061</v>
      </c>
      <c r="Y34" s="13" t="s">
        <v>1062</v>
      </c>
    </row>
    <row r="35">
      <c r="A35" s="111" t="s">
        <v>1063</v>
      </c>
      <c r="B35" s="87">
        <v>1000.0</v>
      </c>
      <c r="C35" s="85">
        <v>4.0</v>
      </c>
      <c r="D35" s="85">
        <v>16.0</v>
      </c>
      <c r="E35" s="85"/>
      <c r="F35" s="85" t="s">
        <v>157</v>
      </c>
      <c r="G35" s="120">
        <v>800000.0</v>
      </c>
      <c r="H35" s="121">
        <v>64.0</v>
      </c>
      <c r="I35" s="122">
        <f t="shared" si="1"/>
        <v>12500</v>
      </c>
      <c r="J35" s="123">
        <v>24.0</v>
      </c>
      <c r="K35" s="123"/>
      <c r="L35" s="130"/>
      <c r="M35" s="123"/>
      <c r="N35" s="131"/>
      <c r="O35" s="133"/>
      <c r="P35" s="85" t="s">
        <v>978</v>
      </c>
      <c r="Q35" s="94" t="s">
        <v>979</v>
      </c>
      <c r="R35" s="85"/>
      <c r="S35" s="85"/>
      <c r="T35" s="102"/>
      <c r="U35" s="85"/>
      <c r="V35" s="9"/>
      <c r="W35" s="15"/>
      <c r="X35" s="105"/>
      <c r="Y35" s="13" t="s">
        <v>1064</v>
      </c>
    </row>
    <row r="36">
      <c r="A36" s="111" t="s">
        <v>1065</v>
      </c>
      <c r="B36" s="87">
        <v>1024.0</v>
      </c>
      <c r="C36" s="85">
        <v>3.0</v>
      </c>
      <c r="D36" s="85">
        <v>16.0</v>
      </c>
      <c r="E36" s="85"/>
      <c r="F36" s="85" t="s">
        <v>157</v>
      </c>
      <c r="G36" s="120"/>
      <c r="H36" s="132"/>
      <c r="I36" s="122" t="str">
        <f t="shared" si="1"/>
        <v/>
      </c>
      <c r="J36" s="123"/>
      <c r="K36" s="123"/>
      <c r="L36" s="130"/>
      <c r="M36" s="123"/>
      <c r="N36" s="131"/>
      <c r="O36" s="133"/>
      <c r="P36" s="85" t="s">
        <v>1026</v>
      </c>
      <c r="Q36" s="94" t="s">
        <v>988</v>
      </c>
      <c r="R36" s="85"/>
      <c r="S36" s="85"/>
      <c r="T36" s="102"/>
      <c r="U36" s="85"/>
      <c r="V36" s="9"/>
      <c r="W36" s="15"/>
      <c r="X36" s="105"/>
      <c r="Y36" s="13" t="s">
        <v>1066</v>
      </c>
    </row>
    <row r="37">
      <c r="A37" s="29" t="str">
        <f>HYPERLINK("https://www.futurlec.com/Others/WS2801.shtml","WS2801")</f>
        <v>WS2801</v>
      </c>
      <c r="B37" s="106">
        <v>2500.0</v>
      </c>
      <c r="C37" s="85">
        <v>3.0</v>
      </c>
      <c r="D37" s="85">
        <v>8.0</v>
      </c>
      <c r="E37" s="85"/>
      <c r="F37" s="85" t="s">
        <v>81</v>
      </c>
      <c r="G37" s="135">
        <v>2.5E7</v>
      </c>
      <c r="H37" s="132">
        <v>24.0</v>
      </c>
      <c r="I37" s="122">
        <f t="shared" si="1"/>
        <v>1041666.667</v>
      </c>
      <c r="J37" s="123">
        <v>7.0</v>
      </c>
      <c r="K37" s="123">
        <v>5.0</v>
      </c>
      <c r="L37" s="130">
        <f>K37*0.8</f>
        <v>4</v>
      </c>
      <c r="M37" s="125">
        <v>5.0</v>
      </c>
      <c r="N37" s="131">
        <v>50.0</v>
      </c>
      <c r="O37" s="139">
        <v>1.5</v>
      </c>
      <c r="P37" s="95" t="s">
        <v>1067</v>
      </c>
      <c r="Q37" s="94" t="s">
        <v>1010</v>
      </c>
      <c r="R37" s="85" t="s">
        <v>1068</v>
      </c>
      <c r="S37" s="95" t="s">
        <v>157</v>
      </c>
      <c r="T37" s="85">
        <v>1024.0</v>
      </c>
      <c r="U37" s="95">
        <v>2010.0</v>
      </c>
      <c r="V37" s="9" t="s">
        <v>1069</v>
      </c>
      <c r="W37" s="15"/>
      <c r="X37" s="30" t="s">
        <v>1070</v>
      </c>
      <c r="Y37" s="13" t="s">
        <v>1071</v>
      </c>
    </row>
    <row r="38">
      <c r="A38" s="5" t="s">
        <v>1072</v>
      </c>
      <c r="B38" s="87"/>
      <c r="C38" s="85">
        <v>5.0</v>
      </c>
      <c r="D38" s="85">
        <v>8.0</v>
      </c>
      <c r="E38" s="85"/>
      <c r="F38" s="85" t="s">
        <v>157</v>
      </c>
      <c r="G38" s="140"/>
      <c r="H38" s="121"/>
      <c r="I38" s="122" t="str">
        <f t="shared" si="1"/>
        <v/>
      </c>
      <c r="J38" s="123"/>
      <c r="K38" s="123"/>
      <c r="L38" s="130"/>
      <c r="M38" s="123"/>
      <c r="N38" s="131"/>
      <c r="O38" s="133"/>
      <c r="P38" s="85"/>
      <c r="Q38" s="94"/>
      <c r="R38" s="85"/>
      <c r="S38" s="85"/>
      <c r="T38" s="102"/>
      <c r="U38" s="85"/>
      <c r="V38" s="9" t="s">
        <v>1073</v>
      </c>
      <c r="W38" s="15"/>
      <c r="X38" s="22"/>
      <c r="Y38" s="105"/>
    </row>
    <row r="39">
      <c r="A39" s="29" t="str">
        <f>HYPERLINK("https://cdn-shop.adafruit.com/datasheets/WS2811.pdf","WS2811")</f>
        <v>WS2811</v>
      </c>
      <c r="B39" s="87">
        <v>2000.0</v>
      </c>
      <c r="C39" s="85">
        <v>3.0</v>
      </c>
      <c r="D39" s="85">
        <v>8.0</v>
      </c>
      <c r="E39" s="85"/>
      <c r="F39" s="85" t="s">
        <v>157</v>
      </c>
      <c r="G39" s="135">
        <v>800000.0</v>
      </c>
      <c r="H39" s="132">
        <v>24.0</v>
      </c>
      <c r="I39" s="122">
        <f t="shared" si="1"/>
        <v>33333.33333</v>
      </c>
      <c r="J39" s="123">
        <v>12.0</v>
      </c>
      <c r="K39" s="123">
        <v>5.0</v>
      </c>
      <c r="L39" s="130">
        <v>3.0</v>
      </c>
      <c r="M39" s="125">
        <v>5.0</v>
      </c>
      <c r="N39" s="131">
        <v>18.5</v>
      </c>
      <c r="O39" s="139">
        <v>0.7</v>
      </c>
      <c r="P39" s="85" t="s">
        <v>1074</v>
      </c>
      <c r="Q39" s="94" t="s">
        <v>979</v>
      </c>
      <c r="R39" s="85" t="s">
        <v>842</v>
      </c>
      <c r="S39" s="85" t="s">
        <v>157</v>
      </c>
      <c r="T39" s="85"/>
      <c r="U39" s="95">
        <v>2011.0</v>
      </c>
      <c r="V39" s="9" t="s">
        <v>1075</v>
      </c>
      <c r="W39" s="15"/>
      <c r="X39" s="13" t="s">
        <v>1076</v>
      </c>
      <c r="Y39" s="13" t="s">
        <v>1077</v>
      </c>
    </row>
    <row r="40">
      <c r="A40" s="111" t="s">
        <v>1078</v>
      </c>
      <c r="B40" s="87">
        <v>2000.0</v>
      </c>
      <c r="C40" s="85">
        <v>3.0</v>
      </c>
      <c r="D40" s="85">
        <v>8.0</v>
      </c>
      <c r="E40" s="85"/>
      <c r="F40" s="85" t="s">
        <v>157</v>
      </c>
      <c r="G40" s="135"/>
      <c r="H40" s="132"/>
      <c r="I40" s="122" t="str">
        <f t="shared" si="1"/>
        <v/>
      </c>
      <c r="J40" s="123"/>
      <c r="K40" s="123"/>
      <c r="L40" s="130"/>
      <c r="M40" s="125"/>
      <c r="N40" s="131"/>
      <c r="O40" s="139"/>
      <c r="P40" s="85" t="s">
        <v>978</v>
      </c>
      <c r="Q40" s="94" t="s">
        <v>979</v>
      </c>
      <c r="R40" s="85"/>
      <c r="S40" s="85"/>
      <c r="T40" s="85"/>
      <c r="U40" s="95"/>
      <c r="V40" s="9"/>
      <c r="W40" s="15"/>
      <c r="X40" s="9"/>
      <c r="Y40" s="13" t="s">
        <v>1079</v>
      </c>
    </row>
    <row r="41">
      <c r="A41" s="111" t="s">
        <v>1080</v>
      </c>
      <c r="B41" s="87">
        <v>2000.0</v>
      </c>
      <c r="C41" s="85">
        <v>4.0</v>
      </c>
      <c r="D41" s="85">
        <v>8.0</v>
      </c>
      <c r="E41" s="85"/>
      <c r="F41" s="85" t="s">
        <v>157</v>
      </c>
      <c r="G41" s="135"/>
      <c r="H41" s="132"/>
      <c r="I41" s="122" t="str">
        <f t="shared" si="1"/>
        <v/>
      </c>
      <c r="J41" s="123"/>
      <c r="K41" s="123"/>
      <c r="L41" s="130"/>
      <c r="M41" s="125"/>
      <c r="N41" s="131"/>
      <c r="O41" s="139"/>
      <c r="P41" s="85" t="s">
        <v>1081</v>
      </c>
      <c r="Q41" s="94" t="s">
        <v>1082</v>
      </c>
      <c r="R41" s="85"/>
      <c r="S41" s="85"/>
      <c r="T41" s="85"/>
      <c r="U41" s="95"/>
      <c r="V41" s="9"/>
      <c r="W41" s="15"/>
      <c r="X41" s="9"/>
      <c r="Y41" s="13" t="s">
        <v>1083</v>
      </c>
    </row>
    <row r="42">
      <c r="A42" s="29" t="str">
        <f>HYPERLINK("http://www.world-semi.com/technology/details-104-4.html","WS2818B")</f>
        <v>WS2818B</v>
      </c>
      <c r="B42" s="87">
        <v>2000.0</v>
      </c>
      <c r="C42" s="85">
        <v>3.0</v>
      </c>
      <c r="D42" s="85">
        <v>8.0</v>
      </c>
      <c r="E42" s="85"/>
      <c r="F42" s="85" t="s">
        <v>157</v>
      </c>
      <c r="G42" s="120">
        <v>800000.0</v>
      </c>
      <c r="H42" s="132">
        <v>24.0</v>
      </c>
      <c r="I42" s="122">
        <f t="shared" si="1"/>
        <v>33333.33333</v>
      </c>
      <c r="J42" s="123">
        <v>12.0</v>
      </c>
      <c r="K42" s="123">
        <v>5.0</v>
      </c>
      <c r="L42" s="130">
        <v>3.0</v>
      </c>
      <c r="M42" s="123">
        <v>5.0</v>
      </c>
      <c r="N42" s="131">
        <v>16.0</v>
      </c>
      <c r="O42" s="133">
        <v>2.1</v>
      </c>
      <c r="P42" s="85" t="s">
        <v>1084</v>
      </c>
      <c r="Q42" s="94" t="s">
        <v>979</v>
      </c>
      <c r="R42" s="85" t="s">
        <v>842</v>
      </c>
      <c r="S42" s="85" t="s">
        <v>81</v>
      </c>
      <c r="T42" s="102"/>
      <c r="U42" s="85">
        <v>2018.0</v>
      </c>
      <c r="V42" s="9" t="s">
        <v>1085</v>
      </c>
      <c r="W42" s="15"/>
      <c r="X42" s="110" t="str">
        <f>HYPERLINK("http://www.world-semi.com/technology/details-104-4.html","http://www.world-semi.com/technology/details-104-4.html")</f>
        <v>http://www.world-semi.com/technology/details-104-4.html</v>
      </c>
      <c r="Y42" s="13" t="s">
        <v>1086</v>
      </c>
    </row>
    <row r="43">
      <c r="A43" s="141"/>
      <c r="B43" s="87"/>
      <c r="C43" s="85"/>
      <c r="D43" s="85"/>
      <c r="E43" s="85"/>
      <c r="F43" s="85"/>
      <c r="G43" s="140"/>
      <c r="H43" s="121"/>
      <c r="I43" s="122"/>
      <c r="J43" s="123"/>
      <c r="K43" s="123"/>
      <c r="L43" s="130"/>
      <c r="M43" s="123"/>
      <c r="N43" s="131"/>
      <c r="O43" s="133"/>
      <c r="P43" s="85"/>
      <c r="Q43" s="94"/>
      <c r="R43" s="85"/>
      <c r="S43" s="85"/>
      <c r="T43" s="102"/>
      <c r="U43" s="85"/>
      <c r="V43" s="9"/>
      <c r="W43" s="15"/>
      <c r="X43" s="22"/>
      <c r="Y43" s="105"/>
    </row>
    <row r="44">
      <c r="A44" s="141"/>
      <c r="B44" s="87"/>
      <c r="C44" s="85"/>
      <c r="D44" s="85"/>
      <c r="E44" s="85"/>
      <c r="F44" s="85"/>
      <c r="G44" s="140"/>
      <c r="H44" s="121"/>
      <c r="I44" s="122"/>
      <c r="J44" s="123"/>
      <c r="K44" s="123"/>
      <c r="L44" s="130"/>
      <c r="M44" s="123"/>
      <c r="N44" s="131"/>
      <c r="O44" s="133"/>
      <c r="P44" s="85"/>
      <c r="Q44" s="94"/>
      <c r="R44" s="85"/>
      <c r="S44" s="85"/>
      <c r="T44" s="102"/>
      <c r="U44" s="85"/>
      <c r="V44" s="9"/>
      <c r="W44" s="15"/>
      <c r="X44" s="22"/>
      <c r="Y44" s="105"/>
    </row>
  </sheetData>
  <dataValidations>
    <dataValidation type="decimal" operator="greaterThan" allowBlank="1" showDropDown="1" showInputMessage="1" prompt="Enter a number greater than 0" sqref="J2:M44">
      <formula1>0.0</formula1>
    </dataValidation>
  </dataValidations>
  <hyperlinks>
    <hyperlink r:id="rId4" ref="Y2"/>
    <hyperlink r:id="rId5" ref="Y3"/>
    <hyperlink r:id="rId6" ref="Y4"/>
    <hyperlink r:id="rId7" ref="A5"/>
    <hyperlink r:id="rId8" ref="W5"/>
    <hyperlink r:id="rId9" ref="X6"/>
    <hyperlink r:id="rId10" ref="Y6"/>
    <hyperlink r:id="rId11" ref="W7"/>
    <hyperlink r:id="rId12" ref="Y7"/>
    <hyperlink r:id="rId13" ref="Y8"/>
    <hyperlink r:id="rId14" ref="Y9"/>
    <hyperlink r:id="rId15" ref="X10"/>
    <hyperlink r:id="rId16" ref="Y10"/>
    <hyperlink r:id="rId17" ref="A11"/>
    <hyperlink r:id="rId18" ref="Y11"/>
    <hyperlink r:id="rId19" ref="Y12"/>
    <hyperlink r:id="rId20" ref="Y13"/>
    <hyperlink r:id="rId21" ref="X14"/>
    <hyperlink r:id="rId22" ref="Y14"/>
    <hyperlink r:id="rId23" ref="Y15"/>
    <hyperlink r:id="rId24" ref="Y16"/>
    <hyperlink r:id="rId25" ref="Y17"/>
    <hyperlink r:id="rId26" ref="Y18"/>
    <hyperlink r:id="rId27" ref="Y19"/>
    <hyperlink r:id="rId28" ref="A21"/>
    <hyperlink r:id="rId29" ref="Y21"/>
    <hyperlink r:id="rId30" ref="Y22"/>
    <hyperlink r:id="rId31" ref="X23"/>
    <hyperlink r:id="rId32" ref="Y23"/>
    <hyperlink r:id="rId33" ref="Y24"/>
    <hyperlink r:id="rId34" ref="A25"/>
    <hyperlink r:id="rId35" ref="Y25"/>
    <hyperlink r:id="rId36" ref="Y26"/>
    <hyperlink r:id="rId37" ref="Y27"/>
    <hyperlink r:id="rId38" ref="Y28"/>
    <hyperlink r:id="rId39" ref="Y29"/>
    <hyperlink r:id="rId40" ref="Y30"/>
    <hyperlink r:id="rId41" ref="Y31"/>
    <hyperlink r:id="rId42" ref="A32"/>
    <hyperlink r:id="rId43" ref="Y32"/>
    <hyperlink r:id="rId44" ref="Y33"/>
    <hyperlink r:id="rId45" ref="X34"/>
    <hyperlink r:id="rId46" ref="Y34"/>
    <hyperlink r:id="rId47" ref="Y35"/>
    <hyperlink r:id="rId48" ref="Y36"/>
    <hyperlink r:id="rId49" ref="X37"/>
    <hyperlink r:id="rId50" ref="Y37"/>
    <hyperlink r:id="rId51" ref="A38"/>
    <hyperlink r:id="rId52" ref="X39"/>
    <hyperlink r:id="rId53" ref="Y39"/>
    <hyperlink r:id="rId54" ref="Y40"/>
    <hyperlink r:id="rId55" ref="Y41"/>
    <hyperlink r:id="rId56" ref="Y42"/>
  </hyperlinks>
  <printOptions gridLines="1" horizontalCentered="1"/>
  <pageMargins bottom="0.75" footer="0.0" header="0.0" left="0.25" right="0.25" top="0.75"/>
  <pageSetup paperSize="8" cellComments="atEnd" orientation="landscape" pageOrder="overThenDown"/>
  <drawing r:id="rId57"/>
  <legacyDrawing r:id="rId58"/>
  <tableParts count="1">
    <tablePart r:id="rId6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88"/>
    <col customWidth="1" min="2" max="2" width="18.75"/>
    <col customWidth="1" min="3" max="3" width="11.88"/>
    <col customWidth="1" min="4" max="4" width="68.88"/>
    <col customWidth="1" min="5" max="5" width="13.5"/>
    <col customWidth="1" min="6" max="6" width="15.75"/>
    <col customWidth="1" min="7" max="7" width="7.25"/>
    <col customWidth="1" min="8" max="8" width="7.5"/>
    <col customWidth="1" min="9" max="9" width="39.63"/>
    <col customWidth="1" min="10" max="10" width="122.5"/>
  </cols>
  <sheetData>
    <row r="1">
      <c r="A1" s="142"/>
      <c r="B1" s="143" t="s">
        <v>1087</v>
      </c>
      <c r="C1" s="143" t="s">
        <v>1088</v>
      </c>
      <c r="D1" s="144" t="s">
        <v>351</v>
      </c>
      <c r="E1" s="145" t="s">
        <v>1089</v>
      </c>
      <c r="F1" s="143" t="s">
        <v>355</v>
      </c>
      <c r="G1" s="143" t="s">
        <v>356</v>
      </c>
      <c r="H1" s="143" t="s">
        <v>1090</v>
      </c>
      <c r="I1" s="143" t="s">
        <v>48</v>
      </c>
      <c r="J1" s="143" t="s">
        <v>361</v>
      </c>
      <c r="K1" s="146"/>
      <c r="L1" s="146"/>
      <c r="M1" s="146"/>
      <c r="N1" s="146"/>
      <c r="O1" s="146"/>
      <c r="P1" s="146"/>
      <c r="Q1" s="146"/>
    </row>
    <row r="2">
      <c r="A2" s="16" t="s">
        <v>1091</v>
      </c>
      <c r="B2" s="111" t="s">
        <v>1092</v>
      </c>
      <c r="C2" s="10">
        <v>1.0</v>
      </c>
      <c r="D2" s="10" t="s">
        <v>1093</v>
      </c>
      <c r="E2" s="147">
        <v>1.0</v>
      </c>
      <c r="F2" s="10" t="s">
        <v>1094</v>
      </c>
      <c r="G2" s="15"/>
      <c r="H2" s="10" t="s">
        <v>1095</v>
      </c>
      <c r="I2" s="10" t="s">
        <v>1096</v>
      </c>
      <c r="J2" s="29" t="s">
        <v>1097</v>
      </c>
    </row>
    <row r="3">
      <c r="A3" s="5" t="s">
        <v>1098</v>
      </c>
      <c r="B3" s="1" t="s">
        <v>1099</v>
      </c>
      <c r="C3" s="1">
        <v>512.0</v>
      </c>
      <c r="D3" s="1" t="s">
        <v>1100</v>
      </c>
      <c r="E3" s="1">
        <v>75.0</v>
      </c>
      <c r="F3" s="1" t="s">
        <v>465</v>
      </c>
      <c r="H3" s="1" t="s">
        <v>1101</v>
      </c>
      <c r="I3" s="1" t="s">
        <v>1102</v>
      </c>
      <c r="J3" s="5" t="s">
        <v>1103</v>
      </c>
    </row>
    <row r="4">
      <c r="A4" s="23" t="s">
        <v>1104</v>
      </c>
      <c r="B4" s="111" t="s">
        <v>802</v>
      </c>
      <c r="C4" s="9">
        <v>2.0</v>
      </c>
      <c r="D4" s="9" t="s">
        <v>1105</v>
      </c>
      <c r="E4" s="148">
        <v>12.0</v>
      </c>
      <c r="F4" s="9" t="s">
        <v>593</v>
      </c>
      <c r="G4" s="9" t="s">
        <v>1106</v>
      </c>
      <c r="H4" s="9" t="s">
        <v>1101</v>
      </c>
      <c r="I4" s="10"/>
      <c r="J4" s="149" t="s">
        <v>1107</v>
      </c>
      <c r="K4" s="150"/>
      <c r="L4" s="150"/>
      <c r="M4" s="150"/>
      <c r="N4" s="150"/>
      <c r="O4" s="150"/>
      <c r="P4" s="150"/>
      <c r="Q4" s="150"/>
    </row>
    <row r="5">
      <c r="A5" s="23" t="s">
        <v>1108</v>
      </c>
      <c r="B5" s="111" t="s">
        <v>1109</v>
      </c>
      <c r="C5" s="9"/>
      <c r="D5" s="9" t="s">
        <v>1110</v>
      </c>
      <c r="E5" s="148">
        <v>3.5</v>
      </c>
      <c r="F5" s="9" t="s">
        <v>1111</v>
      </c>
      <c r="G5" s="9"/>
      <c r="H5" s="9"/>
      <c r="I5" s="10"/>
      <c r="J5" s="108" t="s">
        <v>1112</v>
      </c>
    </row>
    <row r="6">
      <c r="A6" s="151" t="s">
        <v>1113</v>
      </c>
      <c r="B6" s="152" t="s">
        <v>558</v>
      </c>
      <c r="C6" s="152">
        <v>512.0</v>
      </c>
      <c r="D6" s="152" t="s">
        <v>1100</v>
      </c>
      <c r="E6" s="153">
        <v>40.0</v>
      </c>
      <c r="F6" s="152" t="s">
        <v>1114</v>
      </c>
      <c r="G6" s="152" t="s">
        <v>62</v>
      </c>
      <c r="H6" s="154" t="s">
        <v>1101</v>
      </c>
      <c r="I6" s="152"/>
      <c r="J6" s="155" t="s">
        <v>1115</v>
      </c>
      <c r="K6" s="152"/>
      <c r="L6" s="152"/>
      <c r="M6" s="152"/>
      <c r="N6" s="20"/>
      <c r="O6" s="156"/>
    </row>
    <row r="7">
      <c r="A7" s="16" t="str">
        <f>HYPERLINK("https://www.pixel2things.com/","Pixel 2 Things Relay")</f>
        <v>Pixel 2 Things Relay</v>
      </c>
      <c r="B7" s="111" t="s">
        <v>1116</v>
      </c>
      <c r="C7" s="10">
        <v>9.0</v>
      </c>
      <c r="D7" s="9" t="s">
        <v>1117</v>
      </c>
      <c r="E7" s="147">
        <v>99.0</v>
      </c>
      <c r="F7" s="10" t="s">
        <v>616</v>
      </c>
      <c r="G7" s="10" t="s">
        <v>1118</v>
      </c>
      <c r="H7" s="10" t="s">
        <v>1101</v>
      </c>
      <c r="I7" s="10" t="s">
        <v>1119</v>
      </c>
      <c r="J7" s="23" t="s">
        <v>1120</v>
      </c>
    </row>
    <row r="8">
      <c r="A8" s="16" t="str">
        <f>HYPERLINK("https://www.pixel2things.com/","Pixel 2 Things Servo")</f>
        <v>Pixel 2 Things Servo</v>
      </c>
      <c r="B8" s="111" t="s">
        <v>1116</v>
      </c>
      <c r="C8" s="10">
        <v>15.0</v>
      </c>
      <c r="D8" s="10" t="s">
        <v>1121</v>
      </c>
      <c r="E8" s="148">
        <v>99.99</v>
      </c>
      <c r="F8" s="10" t="s">
        <v>366</v>
      </c>
      <c r="G8" s="10" t="s">
        <v>1122</v>
      </c>
      <c r="H8" s="10" t="s">
        <v>1101</v>
      </c>
      <c r="I8" s="10" t="s">
        <v>1123</v>
      </c>
      <c r="J8" s="23" t="s">
        <v>1120</v>
      </c>
    </row>
    <row r="9">
      <c r="A9" s="13" t="s">
        <v>1124</v>
      </c>
      <c r="B9" s="111" t="s">
        <v>1125</v>
      </c>
      <c r="C9" s="9">
        <v>1.0</v>
      </c>
      <c r="D9" s="9" t="s">
        <v>1126</v>
      </c>
      <c r="E9" s="148">
        <v>16.99</v>
      </c>
      <c r="F9" s="9" t="s">
        <v>1111</v>
      </c>
      <c r="G9" s="9" t="s">
        <v>1106</v>
      </c>
      <c r="H9" s="9" t="s">
        <v>1101</v>
      </c>
      <c r="I9" s="10"/>
      <c r="J9" s="108" t="s">
        <v>1127</v>
      </c>
    </row>
    <row r="10">
      <c r="A10" s="157" t="s">
        <v>1128</v>
      </c>
      <c r="B10" s="152" t="s">
        <v>1129</v>
      </c>
      <c r="C10" s="152">
        <v>1.0</v>
      </c>
      <c r="D10" s="152" t="s">
        <v>756</v>
      </c>
      <c r="E10" s="153"/>
      <c r="F10" s="158"/>
      <c r="G10" s="152" t="s">
        <v>1130</v>
      </c>
      <c r="H10" s="154">
        <v>33.0</v>
      </c>
      <c r="I10" s="152" t="s">
        <v>366</v>
      </c>
      <c r="J10" s="158"/>
      <c r="K10" s="152"/>
      <c r="L10" s="152" t="s">
        <v>1101</v>
      </c>
      <c r="M10" s="152" t="s">
        <v>1131</v>
      </c>
      <c r="N10" s="23" t="s">
        <v>1132</v>
      </c>
      <c r="O10" s="156"/>
    </row>
    <row r="11">
      <c r="A11" s="159" t="s">
        <v>1133</v>
      </c>
      <c r="B11" s="160" t="s">
        <v>723</v>
      </c>
      <c r="C11" s="160">
        <v>4.0</v>
      </c>
      <c r="D11" s="160" t="s">
        <v>1134</v>
      </c>
      <c r="E11" s="161">
        <v>7.49</v>
      </c>
      <c r="F11" s="160" t="s">
        <v>1135</v>
      </c>
      <c r="G11" s="160" t="s">
        <v>1122</v>
      </c>
      <c r="H11" s="161" t="s">
        <v>1101</v>
      </c>
      <c r="I11" s="160" t="s">
        <v>1136</v>
      </c>
      <c r="J11" s="162" t="s">
        <v>1137</v>
      </c>
      <c r="K11" s="160"/>
      <c r="L11" s="160"/>
      <c r="M11" s="160"/>
      <c r="N11" s="159"/>
      <c r="O11" s="163"/>
      <c r="P11" s="164"/>
      <c r="Q11" s="164"/>
    </row>
    <row r="12">
      <c r="A12" s="13" t="s">
        <v>1138</v>
      </c>
      <c r="B12" s="111" t="s">
        <v>1139</v>
      </c>
      <c r="C12" s="9">
        <v>3.0</v>
      </c>
      <c r="D12" s="9" t="s">
        <v>1140</v>
      </c>
      <c r="E12" s="148">
        <v>10.0</v>
      </c>
      <c r="F12" s="9" t="s">
        <v>1141</v>
      </c>
      <c r="G12" s="9"/>
      <c r="H12" s="9"/>
      <c r="I12" s="10"/>
      <c r="J12" s="5" t="s">
        <v>1142</v>
      </c>
      <c r="K12" s="150"/>
      <c r="L12" s="150"/>
      <c r="M12" s="150"/>
      <c r="N12" s="150"/>
      <c r="O12" s="150"/>
      <c r="P12" s="150"/>
      <c r="Q12" s="150"/>
    </row>
    <row r="13">
      <c r="A13" s="16" t="str">
        <f>HYPERLINK("https://store.nledshop.com/index.php/nled-ws2811-mosfet-driver-module.html","WS2811 MosFET Driver")</f>
        <v>WS2811 MosFET Driver</v>
      </c>
      <c r="B13" s="111" t="s">
        <v>1143</v>
      </c>
      <c r="C13" s="10">
        <v>3.0</v>
      </c>
      <c r="D13" s="9" t="s">
        <v>1140</v>
      </c>
      <c r="E13" s="148">
        <v>18.0</v>
      </c>
      <c r="F13" s="15"/>
      <c r="G13" s="15"/>
      <c r="H13" s="15"/>
      <c r="I13" s="15"/>
      <c r="J13" s="13" t="s">
        <v>1144</v>
      </c>
      <c r="K13" s="150"/>
      <c r="L13" s="150"/>
      <c r="M13" s="150"/>
      <c r="N13" s="150"/>
      <c r="O13" s="150"/>
      <c r="P13" s="150"/>
      <c r="Q13" s="150"/>
    </row>
    <row r="14">
      <c r="A14" s="16" t="str">
        <f>HYPERLINK("https://www.freetronics.com.au/products/addressable-n-mosfet-driver-output-module#.XiWsEDL7TIX","WS2811 MosFetDriver")</f>
        <v>WS2811 MosFetDriver</v>
      </c>
      <c r="B14" s="111" t="s">
        <v>1145</v>
      </c>
      <c r="C14" s="10">
        <v>3.0</v>
      </c>
      <c r="D14" s="9" t="s">
        <v>1140</v>
      </c>
      <c r="E14" s="148">
        <v>4.0</v>
      </c>
      <c r="F14" s="15"/>
      <c r="G14" s="15"/>
      <c r="H14" s="15"/>
      <c r="I14" s="15"/>
      <c r="J14" s="13" t="s">
        <v>1146</v>
      </c>
      <c r="K14" s="150"/>
      <c r="L14" s="150"/>
      <c r="M14" s="150"/>
      <c r="N14" s="150"/>
      <c r="O14" s="150"/>
      <c r="P14" s="150"/>
      <c r="Q14" s="150"/>
    </row>
    <row r="15">
      <c r="A15" s="5" t="s">
        <v>1147</v>
      </c>
      <c r="B15" s="1" t="s">
        <v>1148</v>
      </c>
      <c r="C15" s="1">
        <v>3.0</v>
      </c>
      <c r="D15" s="1" t="s">
        <v>1140</v>
      </c>
      <c r="E15" s="165">
        <v>1.0</v>
      </c>
      <c r="F15" s="1" t="s">
        <v>1135</v>
      </c>
      <c r="G15" s="1" t="s">
        <v>1122</v>
      </c>
      <c r="H15" s="1"/>
      <c r="I15" s="1"/>
      <c r="J15" s="5" t="s">
        <v>1149</v>
      </c>
      <c r="K15" s="150"/>
      <c r="L15" s="150"/>
      <c r="M15" s="150"/>
      <c r="N15" s="150"/>
      <c r="O15" s="150"/>
      <c r="P15" s="150"/>
      <c r="Q15" s="150"/>
    </row>
    <row r="16">
      <c r="A16" s="141"/>
      <c r="B16" s="1"/>
      <c r="C16" s="1"/>
      <c r="D16" s="1"/>
      <c r="E16" s="165"/>
      <c r="F16" s="1"/>
      <c r="G16" s="1"/>
      <c r="H16" s="1"/>
      <c r="I16" s="1"/>
      <c r="J16" s="141"/>
      <c r="K16" s="150"/>
      <c r="L16" s="150"/>
      <c r="M16" s="150"/>
      <c r="N16" s="150"/>
      <c r="O16" s="150"/>
      <c r="P16" s="150"/>
      <c r="Q16" s="150"/>
    </row>
  </sheetData>
  <conditionalFormatting sqref="A4:U4 A12:D16 E12 F12:G16 H12 I12:U16">
    <cfRule type="expression" dxfId="6" priority="1">
      <formula>isodd(row())</formula>
    </cfRule>
  </conditionalFormatting>
  <dataValidations>
    <dataValidation type="decimal" operator="greaterThan" allowBlank="1" showDropDown="1" showInputMessage="1" prompt="Enter a number greater than 0" sqref="C2 E2 C4:C5 C7:C9 H11 C12:C14 E4:E14">
      <formula1>0.0</formula1>
    </dataValidation>
  </dataValidations>
  <hyperlinks>
    <hyperlink r:id="rId2" ref="A2"/>
    <hyperlink r:id="rId3" ref="J2"/>
    <hyperlink r:id="rId4" ref="A3"/>
    <hyperlink r:id="rId5" ref="J3"/>
    <hyperlink r:id="rId6" ref="A4"/>
    <hyperlink r:id="rId7" ref="J4"/>
    <hyperlink r:id="rId8" ref="A5"/>
    <hyperlink r:id="rId9" ref="J5"/>
    <hyperlink r:id="rId10" ref="J6"/>
    <hyperlink r:id="rId11" ref="J7"/>
    <hyperlink r:id="rId12" ref="J8"/>
    <hyperlink r:id="rId13" ref="A9"/>
    <hyperlink r:id="rId14" ref="J9"/>
    <hyperlink r:id="rId15" ref="A10"/>
    <hyperlink r:id="rId16" ref="N10"/>
    <hyperlink r:id="rId17" ref="J11"/>
    <hyperlink r:id="rId18" ref="A12"/>
    <hyperlink r:id="rId19" ref="J12"/>
    <hyperlink r:id="rId20" ref="J13"/>
    <hyperlink r:id="rId21" location=".XiWsEDL7TIX" ref="J14"/>
    <hyperlink r:id="rId22" ref="A15"/>
    <hyperlink r:id="rId23" ref="J15"/>
  </hyperlinks>
  <drawing r:id="rId24"/>
  <legacyDrawing r:id="rId25"/>
  <tableParts count="1">
    <tablePart r:id="rId2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14.5"/>
    <col customWidth="1" min="5" max="5" width="22.5"/>
    <col customWidth="1" min="6" max="6" width="8.5"/>
    <col customWidth="1" min="8" max="8" width="11.0"/>
    <col customWidth="1" min="9" max="9" width="10.5"/>
    <col customWidth="1" min="10" max="10" width="16.25"/>
  </cols>
  <sheetData>
    <row r="1">
      <c r="A1" s="4">
        <v>206.0</v>
      </c>
      <c r="B1" s="166" t="s">
        <v>345</v>
      </c>
      <c r="C1" s="4" t="s">
        <v>972</v>
      </c>
      <c r="D1" s="166" t="s">
        <v>348</v>
      </c>
      <c r="E1" s="166" t="s">
        <v>48</v>
      </c>
      <c r="F1" s="167" t="s">
        <v>55</v>
      </c>
      <c r="G1" s="168" t="s">
        <v>352</v>
      </c>
      <c r="H1" s="169" t="s">
        <v>353</v>
      </c>
      <c r="I1" s="166" t="s">
        <v>354</v>
      </c>
      <c r="J1" s="166" t="s">
        <v>361</v>
      </c>
    </row>
    <row r="2">
      <c r="A2" s="5" t="s">
        <v>1150</v>
      </c>
      <c r="B2" s="111" t="s">
        <v>662</v>
      </c>
      <c r="C2" s="111">
        <v>4.0</v>
      </c>
      <c r="D2" s="1" t="s">
        <v>1151</v>
      </c>
      <c r="F2" s="170">
        <v>22.0</v>
      </c>
      <c r="G2" s="171">
        <v>12.0</v>
      </c>
      <c r="H2" s="172"/>
      <c r="I2" s="111" t="s">
        <v>81</v>
      </c>
      <c r="J2" s="29" t="s">
        <v>664</v>
      </c>
    </row>
    <row r="4">
      <c r="A4" s="5" t="s">
        <v>1152</v>
      </c>
      <c r="B4" s="1" t="s">
        <v>1153</v>
      </c>
      <c r="C4" s="1">
        <v>4.0</v>
      </c>
      <c r="D4" s="1" t="s">
        <v>1154</v>
      </c>
      <c r="F4" s="173">
        <v>0.75</v>
      </c>
      <c r="J4" s="149" t="s">
        <v>1155</v>
      </c>
    </row>
    <row r="5">
      <c r="A5" s="5" t="s">
        <v>1156</v>
      </c>
      <c r="B5" s="1" t="s">
        <v>1157</v>
      </c>
      <c r="C5" s="1">
        <v>2.0</v>
      </c>
      <c r="E5" s="149" t="s">
        <v>1158</v>
      </c>
      <c r="H5" s="1" t="s">
        <v>1159</v>
      </c>
      <c r="J5" s="149" t="s">
        <v>1160</v>
      </c>
    </row>
    <row r="6">
      <c r="A6" s="5" t="s">
        <v>1161</v>
      </c>
      <c r="B6" s="1" t="s">
        <v>1153</v>
      </c>
      <c r="C6" s="1">
        <v>2.0</v>
      </c>
      <c r="J6" s="5" t="s">
        <v>1162</v>
      </c>
    </row>
    <row r="7">
      <c r="A7" s="5" t="s">
        <v>1163</v>
      </c>
      <c r="B7" s="1" t="s">
        <v>1153</v>
      </c>
      <c r="C7" s="1">
        <v>8.0</v>
      </c>
    </row>
    <row r="8">
      <c r="A8" s="5" t="s">
        <v>1164</v>
      </c>
      <c r="B8" s="1" t="s">
        <v>1153</v>
      </c>
      <c r="C8" s="1">
        <v>1.0</v>
      </c>
      <c r="D8" s="1" t="s">
        <v>1165</v>
      </c>
      <c r="G8" s="1" t="s">
        <v>1166</v>
      </c>
      <c r="J8" s="149" t="s">
        <v>1167</v>
      </c>
    </row>
    <row r="9">
      <c r="A9" s="5" t="s">
        <v>1168</v>
      </c>
      <c r="B9" s="1" t="s">
        <v>1153</v>
      </c>
      <c r="C9" s="1">
        <v>8.0</v>
      </c>
      <c r="D9" s="1" t="s">
        <v>1169</v>
      </c>
      <c r="G9" s="1" t="s">
        <v>1170</v>
      </c>
      <c r="I9" s="1" t="s">
        <v>81</v>
      </c>
      <c r="J9" s="149" t="s">
        <v>1171</v>
      </c>
    </row>
    <row r="10">
      <c r="A10" s="5" t="s">
        <v>1172</v>
      </c>
      <c r="B10" s="1" t="s">
        <v>1153</v>
      </c>
      <c r="C10" s="1">
        <v>4.0</v>
      </c>
      <c r="D10" s="1"/>
      <c r="G10" s="1"/>
      <c r="I10" s="1"/>
      <c r="J10" s="1"/>
    </row>
    <row r="11">
      <c r="A11" s="5" t="s">
        <v>1173</v>
      </c>
      <c r="B11" s="1" t="s">
        <v>1153</v>
      </c>
      <c r="C11" s="1">
        <v>8.0</v>
      </c>
      <c r="D11" s="1"/>
      <c r="G11" s="1">
        <v>6.0</v>
      </c>
      <c r="H11" s="1" t="s">
        <v>1174</v>
      </c>
      <c r="I11" s="1"/>
      <c r="J11" s="149" t="s">
        <v>1175</v>
      </c>
    </row>
    <row r="12">
      <c r="A12" s="141"/>
      <c r="B12" s="1"/>
      <c r="C12" s="1"/>
      <c r="D12" s="1"/>
      <c r="G12" s="1"/>
      <c r="H12" s="1"/>
      <c r="I12" s="1"/>
      <c r="J12" s="1"/>
    </row>
  </sheetData>
  <dataValidations>
    <dataValidation type="decimal" operator="greaterThan" allowBlank="1" showDropDown="1" showInputMessage="1" prompt="Enter a single positive voltage" sqref="G2">
      <formula1>0.0</formula1>
    </dataValidation>
    <dataValidation type="decimal" operator="greaterThan" allowBlank="1" showDropDown="1" showInputMessage="1" prompt="Enter a number greater than 0" sqref="C2">
      <formula1>0.0</formula1>
    </dataValidation>
    <dataValidation type="decimal" operator="greaterThan" allowBlank="1" showDropDown="1" showInputMessage="1" prompt="Enter a positive number of USD" sqref="F2">
      <formula1>0.0</formula1>
    </dataValidation>
    <dataValidation type="decimal" operator="greaterThanOrEqual" allowBlank="1" showDropDown="1" showInputMessage="1" prompt="Enter a positive current (in amps)" sqref="H2">
      <formula1>0.0</formula1>
    </dataValidation>
  </dataValidations>
  <hyperlinks>
    <hyperlink r:id="rId4" ref="A2"/>
    <hyperlink r:id="rId5" ref="J2"/>
    <hyperlink r:id="rId6" ref="A4"/>
    <hyperlink r:id="rId7" ref="J4"/>
    <hyperlink r:id="rId8" ref="A5"/>
    <hyperlink r:id="rId9" ref="E5"/>
    <hyperlink r:id="rId10" ref="J5"/>
    <hyperlink r:id="rId11" ref="A6"/>
    <hyperlink r:id="rId12" ref="J6"/>
    <hyperlink r:id="rId13" ref="A7"/>
    <hyperlink r:id="rId14" ref="A8"/>
    <hyperlink r:id="rId15" ref="J8"/>
    <hyperlink r:id="rId16" ref="A9"/>
    <hyperlink r:id="rId17" ref="J9"/>
    <hyperlink r:id="rId18" ref="A10"/>
    <hyperlink r:id="rId19" ref="A11"/>
    <hyperlink r:id="rId20" ref="J11"/>
  </hyperlinks>
  <drawing r:id="rId21"/>
  <legacyDrawing r:id="rId22"/>
  <tableParts count="2">
    <tablePart r:id="rId25"/>
    <tablePart r:id="rId2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3.5"/>
    <col customWidth="1" min="2" max="2" width="25.0"/>
    <col customWidth="1" min="3" max="3" width="11.88"/>
    <col customWidth="1" min="4" max="4" width="38.75"/>
    <col customWidth="1" min="5" max="5" width="10.38"/>
    <col customWidth="1" min="6" max="6" width="14.13"/>
    <col customWidth="1" min="7" max="7" width="26.25"/>
    <col customWidth="1" min="8" max="8" width="13.5"/>
    <col customWidth="1" min="9" max="9" width="15.75"/>
    <col customWidth="1" min="10" max="10" width="8.75"/>
    <col customWidth="1" min="11" max="11" width="7.25"/>
    <col customWidth="1" min="12" max="12" width="7.5"/>
    <col customWidth="1" min="13" max="13" width="62.75"/>
    <col customWidth="1" min="14" max="14" width="122.5"/>
  </cols>
  <sheetData>
    <row r="1">
      <c r="A1" s="174" t="s">
        <v>1176</v>
      </c>
      <c r="B1" s="175" t="s">
        <v>1087</v>
      </c>
      <c r="C1" s="176" t="s">
        <v>1088</v>
      </c>
      <c r="D1" s="177" t="s">
        <v>351</v>
      </c>
      <c r="E1" s="177" t="s">
        <v>352</v>
      </c>
      <c r="F1" s="178" t="s">
        <v>1177</v>
      </c>
      <c r="G1" s="179" t="s">
        <v>1178</v>
      </c>
      <c r="H1" s="179" t="s">
        <v>1089</v>
      </c>
      <c r="I1" s="176" t="s">
        <v>355</v>
      </c>
      <c r="J1" s="176"/>
      <c r="K1" s="176" t="s">
        <v>356</v>
      </c>
      <c r="L1" s="176" t="s">
        <v>1090</v>
      </c>
      <c r="M1" s="176" t="s">
        <v>48</v>
      </c>
      <c r="N1" s="176" t="s">
        <v>361</v>
      </c>
      <c r="O1" s="180"/>
      <c r="P1" s="180"/>
      <c r="Q1" s="180"/>
    </row>
    <row r="2">
      <c r="A2" s="181" t="str">
        <f>HYPERLINK("http://orangepi-dmx.org/","Orange Pi DMX")</f>
        <v>Orange Pi DMX</v>
      </c>
      <c r="B2" s="182" t="s">
        <v>1179</v>
      </c>
      <c r="C2" s="10">
        <v>4.0</v>
      </c>
      <c r="D2" s="10" t="s">
        <v>1180</v>
      </c>
      <c r="E2" s="183">
        <v>5.0</v>
      </c>
      <c r="F2" s="15"/>
      <c r="G2" s="10" t="s">
        <v>1181</v>
      </c>
      <c r="H2" s="184">
        <v>12.0</v>
      </c>
      <c r="I2" s="15"/>
      <c r="J2" s="15"/>
      <c r="K2" s="15"/>
      <c r="L2" s="10" t="s">
        <v>1095</v>
      </c>
      <c r="M2" s="15"/>
      <c r="N2" s="16" t="s">
        <v>1182</v>
      </c>
      <c r="O2" s="15"/>
      <c r="P2" s="15"/>
      <c r="Q2" s="15"/>
    </row>
    <row r="3">
      <c r="A3" s="181" t="str">
        <f>HYPERLINK("http://bitwizard.nl/shop/DMX-interface-for-Raspberry-pi","RaspPi Isolated DMX")</f>
        <v>RaspPi Isolated DMX</v>
      </c>
      <c r="B3" s="182" t="s">
        <v>1179</v>
      </c>
      <c r="C3" s="10">
        <v>512.0</v>
      </c>
      <c r="D3" s="10" t="s">
        <v>1183</v>
      </c>
      <c r="E3" s="183"/>
      <c r="F3" s="185"/>
      <c r="G3" s="147" t="s">
        <v>1184</v>
      </c>
      <c r="H3" s="147"/>
      <c r="I3" s="10" t="s">
        <v>1185</v>
      </c>
      <c r="J3" s="15"/>
      <c r="K3" s="10" t="s">
        <v>62</v>
      </c>
      <c r="L3" s="10" t="s">
        <v>1101</v>
      </c>
      <c r="M3" s="9"/>
      <c r="N3" s="23" t="s">
        <v>1186</v>
      </c>
      <c r="O3" s="156"/>
      <c r="P3" s="156"/>
      <c r="Q3" s="156"/>
    </row>
    <row r="4">
      <c r="A4" s="186" t="s">
        <v>1187</v>
      </c>
      <c r="B4" s="187" t="s">
        <v>1188</v>
      </c>
      <c r="C4" s="10">
        <v>32.0</v>
      </c>
      <c r="D4" s="10" t="s">
        <v>367</v>
      </c>
      <c r="E4" s="15"/>
      <c r="F4" s="15"/>
      <c r="G4" s="10" t="s">
        <v>1189</v>
      </c>
      <c r="H4" s="10">
        <v>10.0</v>
      </c>
      <c r="I4" s="10" t="s">
        <v>371</v>
      </c>
      <c r="J4" s="15"/>
      <c r="K4" s="15"/>
      <c r="L4" s="10" t="s">
        <v>1095</v>
      </c>
      <c r="M4" s="10" t="s">
        <v>1190</v>
      </c>
      <c r="N4" s="10" t="s">
        <v>1191</v>
      </c>
      <c r="O4" s="10" t="s">
        <v>1192</v>
      </c>
      <c r="P4" s="15"/>
      <c r="Q4" s="15"/>
    </row>
    <row r="5">
      <c r="A5" s="181" t="str">
        <f>HYPERLINK("https://www.doityourselfchristmas.com/wiki/index.php?title=ESPixel_Stick_%26_ESPixel_Pops","PixelPops")</f>
        <v>PixelPops</v>
      </c>
      <c r="B5" s="182" t="s">
        <v>1193</v>
      </c>
      <c r="C5" s="10">
        <v>4.0</v>
      </c>
      <c r="D5" s="10" t="s">
        <v>367</v>
      </c>
      <c r="E5" s="183">
        <v>5.0</v>
      </c>
      <c r="F5" s="185"/>
      <c r="G5" s="147" t="s">
        <v>1194</v>
      </c>
      <c r="H5" s="184"/>
      <c r="I5" s="15"/>
      <c r="J5" s="15"/>
      <c r="K5" s="15"/>
      <c r="L5" s="10" t="s">
        <v>1095</v>
      </c>
      <c r="M5" s="15"/>
      <c r="N5" s="23" t="s">
        <v>1195</v>
      </c>
      <c r="O5" s="156"/>
      <c r="P5" s="156"/>
      <c r="Q5" s="156"/>
    </row>
    <row r="6">
      <c r="A6" s="181" t="s">
        <v>1196</v>
      </c>
      <c r="B6" s="188" t="s">
        <v>278</v>
      </c>
      <c r="C6" s="10">
        <v>8.0</v>
      </c>
      <c r="D6" s="183" t="s">
        <v>1197</v>
      </c>
      <c r="E6" s="183">
        <v>5.0</v>
      </c>
      <c r="F6" s="185">
        <v>3.0</v>
      </c>
      <c r="G6" s="10" t="s">
        <v>1198</v>
      </c>
      <c r="H6" s="184">
        <v>15.0</v>
      </c>
      <c r="I6" s="10" t="s">
        <v>371</v>
      </c>
      <c r="J6" s="10"/>
      <c r="K6" s="10" t="s">
        <v>102</v>
      </c>
      <c r="L6" s="9" t="s">
        <v>1101</v>
      </c>
      <c r="M6" s="147"/>
      <c r="N6" s="16" t="s">
        <v>1199</v>
      </c>
      <c r="O6" s="15"/>
      <c r="P6" s="15"/>
      <c r="Q6" s="15"/>
    </row>
    <row r="7">
      <c r="A7" s="189" t="s">
        <v>1200</v>
      </c>
      <c r="B7" s="188" t="s">
        <v>278</v>
      </c>
      <c r="C7" s="10">
        <v>8.0</v>
      </c>
      <c r="D7" s="190" t="s">
        <v>1201</v>
      </c>
      <c r="E7" s="183">
        <v>12.0</v>
      </c>
      <c r="F7" s="191">
        <v>15.0</v>
      </c>
      <c r="G7" s="10" t="s">
        <v>1198</v>
      </c>
      <c r="H7" s="192">
        <v>49.0</v>
      </c>
      <c r="I7" s="10" t="s">
        <v>366</v>
      </c>
      <c r="J7" s="10"/>
      <c r="K7" s="10" t="s">
        <v>102</v>
      </c>
      <c r="L7" s="9" t="s">
        <v>1101</v>
      </c>
      <c r="M7" s="147"/>
      <c r="N7" s="30" t="s">
        <v>1202</v>
      </c>
      <c r="O7" s="193"/>
      <c r="P7" s="193"/>
      <c r="Q7" s="193"/>
    </row>
    <row r="8">
      <c r="A8" s="181" t="str">
        <f>HYPERLINK("https://www.tindie.com/products/9723/","4x LED Mini Shield")</f>
        <v>4x LED Mini Shield</v>
      </c>
      <c r="B8" s="182" t="s">
        <v>1203</v>
      </c>
      <c r="C8" s="10">
        <v>4.0</v>
      </c>
      <c r="D8" s="183" t="s">
        <v>1197</v>
      </c>
      <c r="E8" s="183">
        <v>5.0</v>
      </c>
      <c r="F8" s="185"/>
      <c r="G8" s="147" t="s">
        <v>1204</v>
      </c>
      <c r="H8" s="184">
        <v>5.0</v>
      </c>
      <c r="I8" s="10" t="s">
        <v>371</v>
      </c>
      <c r="J8" s="15"/>
      <c r="K8" s="15"/>
      <c r="L8" s="10" t="s">
        <v>1095</v>
      </c>
      <c r="M8" s="15"/>
      <c r="N8" s="16" t="s">
        <v>1205</v>
      </c>
      <c r="O8" s="15"/>
      <c r="P8" s="15"/>
      <c r="Q8" s="15"/>
    </row>
    <row r="9">
      <c r="A9" s="194" t="str">
        <f>HYPERLINK("https://www.tindie.com/products/11579/","8x LED Shield")</f>
        <v>8x LED Shield</v>
      </c>
      <c r="B9" s="195" t="s">
        <v>1203</v>
      </c>
      <c r="C9" s="111">
        <v>8.0</v>
      </c>
      <c r="D9" s="171" t="s">
        <v>1197</v>
      </c>
      <c r="E9" s="183">
        <v>5.0</v>
      </c>
      <c r="F9" s="185"/>
      <c r="G9" s="147" t="s">
        <v>1206</v>
      </c>
      <c r="H9" s="184">
        <v>7.0</v>
      </c>
      <c r="I9" s="10" t="s">
        <v>371</v>
      </c>
      <c r="J9" s="15"/>
      <c r="K9" s="15"/>
      <c r="L9" s="10" t="s">
        <v>1095</v>
      </c>
      <c r="M9" s="15"/>
      <c r="N9" s="16" t="s">
        <v>1207</v>
      </c>
      <c r="O9" s="15"/>
      <c r="P9" s="15"/>
      <c r="Q9" s="15"/>
    </row>
    <row r="10">
      <c r="A10" s="194" t="str">
        <f>HYPERLINK("https://www.tindie.com/products/16255/","6x LED Shield")</f>
        <v>6x LED Shield</v>
      </c>
      <c r="B10" s="195" t="s">
        <v>1203</v>
      </c>
      <c r="C10" s="111">
        <v>6.0</v>
      </c>
      <c r="D10" s="171" t="s">
        <v>1197</v>
      </c>
      <c r="E10" s="183">
        <v>5.0</v>
      </c>
      <c r="F10" s="185"/>
      <c r="G10" s="147" t="s">
        <v>1204</v>
      </c>
      <c r="H10" s="184">
        <v>8.0</v>
      </c>
      <c r="I10" s="10" t="s">
        <v>371</v>
      </c>
      <c r="J10" s="15"/>
      <c r="K10" s="15"/>
      <c r="L10" s="10" t="s">
        <v>1095</v>
      </c>
      <c r="M10" s="15"/>
      <c r="N10" s="16" t="s">
        <v>1208</v>
      </c>
      <c r="O10" s="15"/>
      <c r="P10" s="15"/>
      <c r="Q10" s="15"/>
    </row>
    <row r="11">
      <c r="A11" s="181" t="str">
        <f>HYPERLINK("https://www.tindie.com/products/15247/","16x LED Shield")</f>
        <v>16x LED Shield</v>
      </c>
      <c r="B11" s="182" t="s">
        <v>1203</v>
      </c>
      <c r="C11" s="10">
        <v>16.0</v>
      </c>
      <c r="D11" s="183" t="s">
        <v>1197</v>
      </c>
      <c r="E11" s="183">
        <v>5.0</v>
      </c>
      <c r="F11" s="185"/>
      <c r="G11" s="147" t="s">
        <v>1209</v>
      </c>
      <c r="H11" s="184">
        <v>9.0</v>
      </c>
      <c r="I11" s="10" t="s">
        <v>371</v>
      </c>
      <c r="J11" s="15"/>
      <c r="K11" s="15"/>
      <c r="L11" s="10" t="s">
        <v>1095</v>
      </c>
      <c r="M11" s="15"/>
      <c r="N11" s="23" t="s">
        <v>1210</v>
      </c>
      <c r="O11" s="156"/>
      <c r="P11" s="156"/>
      <c r="Q11" s="156"/>
    </row>
    <row r="12">
      <c r="A12" s="194" t="str">
        <f>HYPERLINK("https://www.tindie.com/products/19174/","6x SMD LED Shield")</f>
        <v>6x SMD LED Shield</v>
      </c>
      <c r="B12" s="195" t="s">
        <v>1203</v>
      </c>
      <c r="C12" s="111">
        <v>6.0</v>
      </c>
      <c r="D12" s="171" t="s">
        <v>1197</v>
      </c>
      <c r="E12" s="183">
        <v>5.0</v>
      </c>
      <c r="F12" s="185"/>
      <c r="G12" s="147" t="s">
        <v>1204</v>
      </c>
      <c r="H12" s="184">
        <v>16.0</v>
      </c>
      <c r="I12" s="10" t="s">
        <v>371</v>
      </c>
      <c r="J12" s="15"/>
      <c r="K12" s="15"/>
      <c r="L12" s="10" t="s">
        <v>1101</v>
      </c>
      <c r="M12" s="15"/>
      <c r="N12" s="16" t="s">
        <v>1211</v>
      </c>
      <c r="O12" s="15"/>
      <c r="P12" s="15"/>
      <c r="Q12" s="15"/>
    </row>
    <row r="13">
      <c r="A13" s="189" t="s">
        <v>1212</v>
      </c>
      <c r="B13" s="188" t="s">
        <v>1213</v>
      </c>
      <c r="C13" s="9">
        <v>8.0</v>
      </c>
      <c r="D13" s="9" t="s">
        <v>1180</v>
      </c>
      <c r="E13" s="190">
        <v>24.0</v>
      </c>
      <c r="F13" s="15"/>
      <c r="G13" s="9" t="s">
        <v>1214</v>
      </c>
      <c r="H13" s="192">
        <v>22.0</v>
      </c>
      <c r="I13" s="9" t="s">
        <v>366</v>
      </c>
      <c r="J13" s="15"/>
      <c r="K13" s="9" t="s">
        <v>102</v>
      </c>
      <c r="L13" s="9" t="s">
        <v>1101</v>
      </c>
      <c r="M13" s="9" t="s">
        <v>1215</v>
      </c>
      <c r="N13" s="30" t="s">
        <v>1216</v>
      </c>
      <c r="O13" s="193"/>
      <c r="P13" s="193"/>
      <c r="Q13" s="193"/>
    </row>
    <row r="14">
      <c r="A14" s="181" t="str">
        <f>HYPERLINK("http://www.hansonelectronics.com.au/product/rpi-28d/","RPI-28D")</f>
        <v>RPI-28D</v>
      </c>
      <c r="B14" s="195" t="s">
        <v>1217</v>
      </c>
      <c r="C14" s="10">
        <v>3.0</v>
      </c>
      <c r="D14" s="10" t="s">
        <v>1218</v>
      </c>
      <c r="E14" s="183">
        <v>12.0</v>
      </c>
      <c r="F14" s="185"/>
      <c r="G14" s="10" t="s">
        <v>1219</v>
      </c>
      <c r="H14" s="184">
        <v>21.85</v>
      </c>
      <c r="I14" s="10" t="s">
        <v>366</v>
      </c>
      <c r="J14" s="10"/>
      <c r="K14" s="10" t="s">
        <v>102</v>
      </c>
      <c r="L14" s="10" t="s">
        <v>1101</v>
      </c>
      <c r="M14" s="147"/>
      <c r="N14" s="16" t="s">
        <v>1220</v>
      </c>
      <c r="O14" s="15"/>
      <c r="P14" s="15"/>
      <c r="Q14" s="15"/>
    </row>
    <row r="15">
      <c r="A15" s="196" t="s">
        <v>1221</v>
      </c>
      <c r="B15" s="197" t="s">
        <v>1222</v>
      </c>
      <c r="C15" s="15"/>
      <c r="D15" s="9"/>
      <c r="E15" s="15"/>
      <c r="F15" s="15"/>
      <c r="G15" s="9"/>
      <c r="H15" s="9">
        <v>7.0</v>
      </c>
      <c r="I15" s="9"/>
      <c r="J15" s="15"/>
      <c r="K15" s="15"/>
      <c r="L15" s="9" t="s">
        <v>1101</v>
      </c>
      <c r="M15" s="9" t="s">
        <v>1223</v>
      </c>
      <c r="N15" s="30" t="s">
        <v>1224</v>
      </c>
      <c r="O15" s="193"/>
      <c r="P15" s="193"/>
      <c r="Q15" s="193"/>
    </row>
    <row r="16">
      <c r="A16" s="181" t="str">
        <f>HYPERLINK("https://jboards.ecwid.com/Pixel-String-Pihat-Zero-p133155360","Pixel String Pihat Zero")</f>
        <v>Pixel String Pihat Zero</v>
      </c>
      <c r="B16" s="195" t="s">
        <v>1222</v>
      </c>
      <c r="C16" s="10">
        <v>2.0</v>
      </c>
      <c r="D16" s="183"/>
      <c r="E16" s="183">
        <v>12.0</v>
      </c>
      <c r="F16" s="185"/>
      <c r="G16" s="10" t="s">
        <v>1219</v>
      </c>
      <c r="H16" s="184">
        <v>12.0</v>
      </c>
      <c r="I16" s="15"/>
      <c r="J16" s="15"/>
      <c r="K16" s="15"/>
      <c r="L16" s="15"/>
      <c r="M16" s="15"/>
      <c r="N16" s="16" t="s">
        <v>1225</v>
      </c>
      <c r="O16" s="15"/>
      <c r="P16" s="15"/>
      <c r="Q16" s="15"/>
    </row>
    <row r="17">
      <c r="A17" s="181" t="s">
        <v>1226</v>
      </c>
      <c r="B17" s="195" t="s">
        <v>1227</v>
      </c>
      <c r="C17" s="15"/>
      <c r="D17" s="9" t="s">
        <v>1228</v>
      </c>
      <c r="E17" s="190">
        <v>12.0</v>
      </c>
      <c r="F17" s="15"/>
      <c r="G17" s="10" t="s">
        <v>1229</v>
      </c>
      <c r="H17" s="15"/>
      <c r="I17" s="15"/>
      <c r="J17" s="15"/>
      <c r="K17" s="15"/>
      <c r="L17" s="10" t="s">
        <v>1095</v>
      </c>
      <c r="M17" s="9" t="s">
        <v>1230</v>
      </c>
      <c r="N17" s="16" t="s">
        <v>1231</v>
      </c>
      <c r="O17" s="15"/>
      <c r="P17" s="15"/>
      <c r="Q17" s="15"/>
    </row>
    <row r="18">
      <c r="A18" s="189" t="s">
        <v>1232</v>
      </c>
      <c r="B18" s="195" t="s">
        <v>1227</v>
      </c>
      <c r="C18" s="10">
        <v>1.0</v>
      </c>
      <c r="D18" s="10" t="s">
        <v>756</v>
      </c>
      <c r="E18" s="190">
        <v>12.0</v>
      </c>
      <c r="F18" s="15"/>
      <c r="G18" s="10" t="s">
        <v>1229</v>
      </c>
      <c r="H18" s="15"/>
      <c r="I18" s="15"/>
      <c r="J18" s="15"/>
      <c r="K18" s="15"/>
      <c r="L18" s="10" t="s">
        <v>1095</v>
      </c>
      <c r="M18" s="10" t="s">
        <v>1233</v>
      </c>
      <c r="N18" s="23" t="s">
        <v>1234</v>
      </c>
      <c r="O18" s="156"/>
      <c r="P18" s="156"/>
      <c r="Q18" s="156"/>
    </row>
    <row r="19">
      <c r="A19" s="194" t="str">
        <f>HYPERLINK("https://kulplights.com/product/pocketscroller/","PocketScroller V2")</f>
        <v>PocketScroller V2</v>
      </c>
      <c r="B19" s="195" t="s">
        <v>1235</v>
      </c>
      <c r="C19" s="111">
        <v>6.0</v>
      </c>
      <c r="D19" s="111" t="s">
        <v>1236</v>
      </c>
      <c r="E19" s="183">
        <v>5.0</v>
      </c>
      <c r="F19" s="185"/>
      <c r="G19" s="185" t="s">
        <v>1237</v>
      </c>
      <c r="H19" s="184">
        <v>51.0</v>
      </c>
      <c r="I19" s="10" t="s">
        <v>1238</v>
      </c>
      <c r="J19" s="15"/>
      <c r="K19" s="15"/>
      <c r="L19" s="10" t="s">
        <v>1095</v>
      </c>
      <c r="M19" s="15"/>
      <c r="N19" s="16" t="s">
        <v>1239</v>
      </c>
      <c r="O19" s="15"/>
      <c r="P19" s="15"/>
      <c r="Q19" s="15"/>
    </row>
    <row r="20">
      <c r="A20" s="181" t="str">
        <f>HYPERLINK("https://kulplights.com/product/f8-b/","F8-B")</f>
        <v>F8-B</v>
      </c>
      <c r="B20" s="195" t="s">
        <v>1235</v>
      </c>
      <c r="C20" s="10">
        <v>8.0</v>
      </c>
      <c r="D20" s="10" t="s">
        <v>367</v>
      </c>
      <c r="E20" s="183">
        <v>12.0</v>
      </c>
      <c r="F20" s="185"/>
      <c r="G20" s="185" t="s">
        <v>1240</v>
      </c>
      <c r="H20" s="184">
        <v>51.0</v>
      </c>
      <c r="I20" s="10" t="s">
        <v>366</v>
      </c>
      <c r="J20" s="10"/>
      <c r="K20" s="10" t="s">
        <v>367</v>
      </c>
      <c r="L20" s="147"/>
      <c r="M20" s="15"/>
      <c r="N20" s="16" t="s">
        <v>1241</v>
      </c>
      <c r="O20" s="15"/>
      <c r="P20" s="15"/>
      <c r="Q20" s="15"/>
    </row>
    <row r="21">
      <c r="A21" s="181" t="str">
        <f>HYPERLINK("https://kulplights.com/product/f8-pb/","F8-PB")</f>
        <v>F8-PB</v>
      </c>
      <c r="B21" s="195" t="s">
        <v>1235</v>
      </c>
      <c r="C21" s="10">
        <v>8.0</v>
      </c>
      <c r="D21" s="10" t="s">
        <v>367</v>
      </c>
      <c r="E21" s="183">
        <v>12.0</v>
      </c>
      <c r="F21" s="185"/>
      <c r="G21" s="185" t="s">
        <v>1240</v>
      </c>
      <c r="H21" s="184">
        <v>81.0</v>
      </c>
      <c r="I21" s="10" t="s">
        <v>366</v>
      </c>
      <c r="J21" s="10"/>
      <c r="K21" s="10" t="s">
        <v>367</v>
      </c>
      <c r="L21" s="147"/>
      <c r="M21" s="15"/>
      <c r="N21" s="16" t="s">
        <v>1242</v>
      </c>
      <c r="O21" s="15"/>
      <c r="P21" s="15"/>
      <c r="Q21" s="15"/>
    </row>
    <row r="22">
      <c r="A22" s="181" t="str">
        <f>HYPERLINK("https://kulplights.com/product/f32-b/","F32-B")</f>
        <v>F32-B</v>
      </c>
      <c r="B22" s="195" t="s">
        <v>1235</v>
      </c>
      <c r="C22" s="10">
        <v>32.0</v>
      </c>
      <c r="D22" s="10" t="s">
        <v>367</v>
      </c>
      <c r="E22" s="183">
        <v>12.0</v>
      </c>
      <c r="F22" s="185"/>
      <c r="G22" s="185" t="s">
        <v>1240</v>
      </c>
      <c r="H22" s="184">
        <v>95.0</v>
      </c>
      <c r="I22" s="10" t="s">
        <v>366</v>
      </c>
      <c r="J22" s="10"/>
      <c r="K22" s="10" t="s">
        <v>367</v>
      </c>
      <c r="L22" s="147"/>
      <c r="M22" s="15"/>
      <c r="N22" s="16" t="s">
        <v>1243</v>
      </c>
      <c r="O22" s="15"/>
      <c r="P22" s="15"/>
      <c r="Q22" s="15"/>
    </row>
    <row r="23">
      <c r="A23" s="194" t="str">
        <f>HYPERLINK("https://kulplights.com/product/f40d-pb/","F40D-B")</f>
        <v>F40D-B</v>
      </c>
      <c r="B23" s="195" t="s">
        <v>1235</v>
      </c>
      <c r="C23" s="111">
        <v>40.0</v>
      </c>
      <c r="D23" s="111" t="s">
        <v>367</v>
      </c>
      <c r="E23" s="183">
        <v>5.0</v>
      </c>
      <c r="F23" s="185"/>
      <c r="G23" s="185" t="s">
        <v>1240</v>
      </c>
      <c r="H23" s="184"/>
      <c r="I23" s="10" t="s">
        <v>460</v>
      </c>
      <c r="J23" s="10" t="s">
        <v>694</v>
      </c>
      <c r="K23" s="10" t="s">
        <v>367</v>
      </c>
      <c r="L23" s="147"/>
      <c r="M23" s="15"/>
      <c r="N23" s="23" t="s">
        <v>1244</v>
      </c>
      <c r="O23" s="156"/>
      <c r="P23" s="156"/>
      <c r="Q23" s="156"/>
    </row>
    <row r="24">
      <c r="A24" s="194" t="s">
        <v>1245</v>
      </c>
      <c r="B24" s="195" t="s">
        <v>662</v>
      </c>
      <c r="C24" s="111">
        <v>6.0</v>
      </c>
      <c r="D24" s="111"/>
      <c r="E24" s="183">
        <v>12.0</v>
      </c>
      <c r="F24" s="191">
        <v>15.0</v>
      </c>
      <c r="G24" s="148" t="s">
        <v>1246</v>
      </c>
      <c r="H24" s="192">
        <v>24.0</v>
      </c>
      <c r="I24" s="10" t="s">
        <v>366</v>
      </c>
      <c r="J24" s="15"/>
      <c r="K24" s="10" t="s">
        <v>367</v>
      </c>
      <c r="L24" s="10" t="s">
        <v>1095</v>
      </c>
      <c r="M24" s="15"/>
      <c r="N24" s="13" t="s">
        <v>668</v>
      </c>
      <c r="O24" s="15"/>
      <c r="P24" s="15"/>
      <c r="Q24" s="15"/>
    </row>
    <row r="25">
      <c r="A25" s="194" t="s">
        <v>672</v>
      </c>
      <c r="B25" s="195" t="s">
        <v>662</v>
      </c>
      <c r="C25" s="111">
        <v>37.0</v>
      </c>
      <c r="D25" s="111" t="s">
        <v>367</v>
      </c>
      <c r="E25" s="183">
        <v>12.0</v>
      </c>
      <c r="F25" s="191" t="s">
        <v>1247</v>
      </c>
      <c r="G25" s="191" t="s">
        <v>1248</v>
      </c>
      <c r="H25" s="192">
        <v>35.0</v>
      </c>
      <c r="I25" s="10" t="s">
        <v>366</v>
      </c>
      <c r="J25" s="15"/>
      <c r="K25" s="15"/>
      <c r="L25" s="10" t="s">
        <v>1095</v>
      </c>
      <c r="M25" s="15"/>
      <c r="N25" s="30" t="s">
        <v>674</v>
      </c>
      <c r="O25" s="15"/>
      <c r="P25" s="15"/>
      <c r="Q25" s="15"/>
    </row>
    <row r="26">
      <c r="A26" s="194" t="s">
        <v>550</v>
      </c>
      <c r="B26" s="195" t="s">
        <v>662</v>
      </c>
      <c r="C26" s="111">
        <v>75.0</v>
      </c>
      <c r="D26" s="111" t="s">
        <v>367</v>
      </c>
      <c r="E26" s="183">
        <v>12.0</v>
      </c>
      <c r="F26" s="191" t="s">
        <v>1247</v>
      </c>
      <c r="G26" s="191" t="s">
        <v>1248</v>
      </c>
      <c r="H26" s="192">
        <v>45.0</v>
      </c>
      <c r="I26" s="10" t="s">
        <v>366</v>
      </c>
      <c r="J26" s="15"/>
      <c r="K26" s="15"/>
      <c r="L26" s="10" t="s">
        <v>1095</v>
      </c>
      <c r="M26" s="15"/>
      <c r="N26" s="30" t="s">
        <v>675</v>
      </c>
      <c r="O26" s="15"/>
      <c r="P26" s="15"/>
      <c r="Q26" s="15"/>
    </row>
    <row r="27">
      <c r="A27" s="181" t="s">
        <v>1249</v>
      </c>
      <c r="B27" s="182" t="s">
        <v>662</v>
      </c>
      <c r="C27" s="10">
        <v>3200.0</v>
      </c>
      <c r="D27" s="10">
        <v>2.0</v>
      </c>
      <c r="E27" s="183"/>
      <c r="F27" s="185" t="s">
        <v>157</v>
      </c>
      <c r="G27" s="147" t="s">
        <v>81</v>
      </c>
      <c r="H27" s="147">
        <v>22.0</v>
      </c>
      <c r="I27" s="10" t="s">
        <v>102</v>
      </c>
      <c r="J27" s="15">
        <v>12.0</v>
      </c>
      <c r="K27" s="10"/>
      <c r="L27" s="10" t="s">
        <v>81</v>
      </c>
      <c r="M27" s="9" t="s">
        <v>366</v>
      </c>
      <c r="N27" s="20" t="s">
        <v>663</v>
      </c>
      <c r="O27" s="156"/>
      <c r="P27" s="156"/>
      <c r="Q27" s="156"/>
    </row>
    <row r="28">
      <c r="A28" s="197" t="s">
        <v>1250</v>
      </c>
      <c r="B28" s="194" t="s">
        <v>1251</v>
      </c>
      <c r="C28" s="9">
        <v>1.0</v>
      </c>
      <c r="D28" s="9" t="s">
        <v>1218</v>
      </c>
      <c r="E28" s="190">
        <v>12.0</v>
      </c>
      <c r="F28" s="185"/>
      <c r="G28" s="148" t="s">
        <v>1252</v>
      </c>
      <c r="H28" s="148">
        <v>9.0</v>
      </c>
      <c r="I28" s="9" t="s">
        <v>1135</v>
      </c>
      <c r="J28" s="15"/>
      <c r="K28" s="9" t="s">
        <v>102</v>
      </c>
      <c r="L28" s="9" t="s">
        <v>1101</v>
      </c>
      <c r="M28" s="9" t="s">
        <v>1253</v>
      </c>
      <c r="N28" s="30" t="s">
        <v>1254</v>
      </c>
      <c r="O28" s="193"/>
      <c r="P28" s="193"/>
      <c r="Q28" s="193"/>
    </row>
    <row r="29">
      <c r="A29" s="198" t="s">
        <v>1255</v>
      </c>
      <c r="B29" s="189" t="s">
        <v>1251</v>
      </c>
      <c r="C29" s="9">
        <v>4.0</v>
      </c>
      <c r="D29" s="9" t="s">
        <v>1256</v>
      </c>
      <c r="E29" s="190">
        <v>24.0</v>
      </c>
      <c r="F29" s="185"/>
      <c r="G29" s="148" t="s">
        <v>1257</v>
      </c>
      <c r="H29" s="148">
        <v>12.0</v>
      </c>
      <c r="I29" s="9" t="s">
        <v>1135</v>
      </c>
      <c r="J29" s="15"/>
      <c r="K29" s="9"/>
      <c r="L29" s="9" t="s">
        <v>1101</v>
      </c>
      <c r="M29" s="9" t="s">
        <v>1258</v>
      </c>
      <c r="N29" s="30" t="s">
        <v>1259</v>
      </c>
      <c r="O29" s="193"/>
      <c r="P29" s="193"/>
      <c r="Q29" s="193"/>
    </row>
    <row r="30">
      <c r="A30" s="197" t="s">
        <v>1260</v>
      </c>
      <c r="B30" s="197" t="s">
        <v>1261</v>
      </c>
      <c r="C30" s="15"/>
      <c r="D30" s="9" t="s">
        <v>1218</v>
      </c>
      <c r="E30" s="15"/>
      <c r="F30" s="15"/>
      <c r="G30" s="9" t="s">
        <v>1262</v>
      </c>
      <c r="H30" s="9">
        <v>16.0</v>
      </c>
      <c r="I30" s="9" t="s">
        <v>1263</v>
      </c>
      <c r="J30" s="15"/>
      <c r="K30" s="15"/>
      <c r="L30" s="9" t="s">
        <v>1101</v>
      </c>
      <c r="M30" s="15"/>
      <c r="N30" s="30" t="s">
        <v>1264</v>
      </c>
      <c r="O30" s="193"/>
      <c r="P30" s="193"/>
      <c r="Q30" s="193"/>
    </row>
    <row r="31">
      <c r="A31" s="181" t="str">
        <f>HYPERLINK("https://www.pixelcontroller.com/store/index.php?id_product=47","Falcon PiCap")</f>
        <v>Falcon PiCap</v>
      </c>
      <c r="B31" s="195" t="s">
        <v>691</v>
      </c>
      <c r="C31" s="10">
        <v>2.0</v>
      </c>
      <c r="D31" s="183"/>
      <c r="E31" s="183">
        <v>24.0</v>
      </c>
      <c r="F31" s="185"/>
      <c r="G31" s="10" t="s">
        <v>1219</v>
      </c>
      <c r="H31" s="184">
        <v>35.0</v>
      </c>
      <c r="I31" s="15"/>
      <c r="J31" s="10"/>
      <c r="K31" s="10" t="s">
        <v>102</v>
      </c>
      <c r="L31" s="10" t="s">
        <v>1101</v>
      </c>
      <c r="M31" s="15"/>
      <c r="N31" s="16" t="s">
        <v>1265</v>
      </c>
      <c r="O31" s="15"/>
      <c r="P31" s="15"/>
      <c r="Q31" s="15"/>
    </row>
    <row r="32">
      <c r="A32" s="194" t="str">
        <f>HYPERLINK("https://www.pjrc.com/store/octo28_adaptor.html","OctoWS2811 Adaptor")</f>
        <v>OctoWS2811 Adaptor</v>
      </c>
      <c r="B32" s="195" t="s">
        <v>1266</v>
      </c>
      <c r="C32" s="111">
        <v>8.0</v>
      </c>
      <c r="D32" s="171" t="s">
        <v>367</v>
      </c>
      <c r="E32" s="183">
        <v>5.0</v>
      </c>
      <c r="F32" s="185"/>
      <c r="G32" s="147" t="s">
        <v>1267</v>
      </c>
      <c r="H32" s="184">
        <v>10.0</v>
      </c>
      <c r="I32" s="10" t="s">
        <v>460</v>
      </c>
      <c r="J32" s="10"/>
      <c r="K32" s="10" t="s">
        <v>367</v>
      </c>
      <c r="L32" s="10" t="s">
        <v>1101</v>
      </c>
      <c r="M32" s="15"/>
      <c r="N32" s="16" t="s">
        <v>1268</v>
      </c>
      <c r="O32" s="15"/>
      <c r="P32" s="15"/>
      <c r="Q32" s="15"/>
    </row>
    <row r="33">
      <c r="A33" s="197" t="s">
        <v>722</v>
      </c>
      <c r="B33" s="195" t="s">
        <v>723</v>
      </c>
      <c r="C33" s="199">
        <v>2.0</v>
      </c>
      <c r="D33" s="183" t="s">
        <v>1197</v>
      </c>
      <c r="E33" s="183">
        <v>24.0</v>
      </c>
      <c r="F33" s="200">
        <v>15.0</v>
      </c>
      <c r="G33" s="201" t="s">
        <v>1269</v>
      </c>
      <c r="H33" s="202">
        <v>24.99</v>
      </c>
      <c r="I33" s="188" t="s">
        <v>1135</v>
      </c>
      <c r="J33" s="102"/>
      <c r="K33" s="188" t="s">
        <v>102</v>
      </c>
      <c r="L33" s="188" t="s">
        <v>102</v>
      </c>
      <c r="M33" s="188" t="s">
        <v>725</v>
      </c>
      <c r="N33" s="23" t="s">
        <v>727</v>
      </c>
      <c r="O33" s="156"/>
      <c r="P33" s="156"/>
      <c r="Q33" s="156"/>
    </row>
    <row r="34">
      <c r="A34" s="197" t="s">
        <v>734</v>
      </c>
      <c r="B34" s="188" t="s">
        <v>723</v>
      </c>
      <c r="C34" s="199">
        <v>4.0</v>
      </c>
      <c r="D34" s="183" t="s">
        <v>1197</v>
      </c>
      <c r="E34" s="183">
        <v>24.0</v>
      </c>
      <c r="F34" s="200">
        <v>30.0</v>
      </c>
      <c r="G34" s="201" t="s">
        <v>1269</v>
      </c>
      <c r="H34" s="202">
        <v>37.5</v>
      </c>
      <c r="I34" s="188" t="s">
        <v>1135</v>
      </c>
      <c r="J34" s="102"/>
      <c r="K34" s="188" t="s">
        <v>102</v>
      </c>
      <c r="L34" s="188" t="s">
        <v>102</v>
      </c>
      <c r="M34" s="188" t="s">
        <v>725</v>
      </c>
      <c r="N34" s="23" t="s">
        <v>727</v>
      </c>
      <c r="O34" s="193"/>
      <c r="P34" s="193"/>
      <c r="Q34" s="193"/>
    </row>
    <row r="35">
      <c r="A35" s="189" t="s">
        <v>1270</v>
      </c>
      <c r="B35" s="195" t="s">
        <v>1271</v>
      </c>
      <c r="C35" s="9">
        <v>2.0</v>
      </c>
      <c r="D35" s="9" t="s">
        <v>1272</v>
      </c>
      <c r="E35" s="190">
        <v>12.0</v>
      </c>
      <c r="F35" s="191">
        <v>10.0</v>
      </c>
      <c r="G35" s="148" t="s">
        <v>1246</v>
      </c>
      <c r="H35" s="184"/>
      <c r="I35" s="188" t="s">
        <v>1135</v>
      </c>
      <c r="J35" s="15"/>
      <c r="K35" s="9" t="s">
        <v>102</v>
      </c>
      <c r="L35" s="9" t="s">
        <v>1095</v>
      </c>
      <c r="M35" s="9" t="s">
        <v>1273</v>
      </c>
      <c r="N35" s="203" t="s">
        <v>1274</v>
      </c>
      <c r="O35" s="193"/>
      <c r="P35" s="193"/>
      <c r="Q35" s="193"/>
    </row>
    <row r="36">
      <c r="A36" s="196" t="s">
        <v>1275</v>
      </c>
      <c r="B36" s="195" t="s">
        <v>1271</v>
      </c>
      <c r="C36" s="9">
        <v>2.0</v>
      </c>
      <c r="D36" s="9" t="s">
        <v>1272</v>
      </c>
      <c r="E36" s="190">
        <v>12.0</v>
      </c>
      <c r="F36" s="191">
        <v>10.0</v>
      </c>
      <c r="G36" s="148" t="s">
        <v>1276</v>
      </c>
      <c r="H36" s="184"/>
      <c r="I36" s="23" t="s">
        <v>1277</v>
      </c>
      <c r="J36" s="15"/>
      <c r="K36" s="9" t="s">
        <v>102</v>
      </c>
      <c r="L36" s="9" t="s">
        <v>1095</v>
      </c>
      <c r="M36" s="204" t="s">
        <v>1273</v>
      </c>
      <c r="N36" s="30" t="s">
        <v>1278</v>
      </c>
      <c r="O36" s="193"/>
      <c r="P36" s="193"/>
      <c r="Q36" s="193"/>
    </row>
    <row r="37">
      <c r="A37" s="197" t="s">
        <v>1279</v>
      </c>
      <c r="B37" s="195" t="s">
        <v>1280</v>
      </c>
      <c r="C37" s="199"/>
      <c r="D37" s="205" t="s">
        <v>1272</v>
      </c>
      <c r="E37" s="123">
        <v>12.0</v>
      </c>
      <c r="F37" s="200"/>
      <c r="G37" s="201" t="s">
        <v>1281</v>
      </c>
      <c r="H37" s="202">
        <v>20.0</v>
      </c>
      <c r="I37" s="188" t="s">
        <v>1282</v>
      </c>
      <c r="J37" s="102"/>
      <c r="K37" s="188" t="s">
        <v>102</v>
      </c>
      <c r="L37" s="188" t="s">
        <v>1101</v>
      </c>
      <c r="M37" s="188" t="s">
        <v>1283</v>
      </c>
      <c r="N37" s="23" t="s">
        <v>1284</v>
      </c>
      <c r="O37" s="156"/>
      <c r="P37" s="156"/>
      <c r="Q37" s="156"/>
    </row>
    <row r="38">
      <c r="A38" s="181" t="str">
        <f>HYPERLINK("https://www.tindie.com/products/ManiacalLabs/pipixel-raspberry-pi-led-strip-hat/","PiPixel")</f>
        <v>PiPixel</v>
      </c>
      <c r="B38" s="182" t="s">
        <v>1285</v>
      </c>
      <c r="C38" s="10">
        <v>1.0</v>
      </c>
      <c r="D38" s="183" t="s">
        <v>1197</v>
      </c>
      <c r="E38" s="183">
        <v>24.0</v>
      </c>
      <c r="F38" s="185">
        <v>5.0</v>
      </c>
      <c r="G38" s="10" t="s">
        <v>1219</v>
      </c>
      <c r="H38" s="184">
        <v>8.5</v>
      </c>
      <c r="I38" s="10" t="s">
        <v>655</v>
      </c>
      <c r="J38" s="15"/>
      <c r="K38" s="10" t="s">
        <v>102</v>
      </c>
      <c r="L38" s="10" t="s">
        <v>1101</v>
      </c>
      <c r="M38" s="15"/>
      <c r="N38" s="16" t="s">
        <v>1286</v>
      </c>
      <c r="O38" s="15"/>
      <c r="P38" s="15"/>
      <c r="Q38" s="15"/>
    </row>
    <row r="39">
      <c r="A39" s="194" t="str">
        <f>HYPERLINK("https://www.tindie.com/products/EssenceEng/led-octopus/?pt=ac_prod_search&amp;fbclid=IwAR0w77lL9NKRWRN5rjs89GbIYH6X89oUKeTyQUXs0GWmvsbt0Y-RF29wdO8","LED Octopus")</f>
        <v>LED Octopus</v>
      </c>
      <c r="B39" s="195" t="s">
        <v>1285</v>
      </c>
      <c r="C39" s="111">
        <v>8.0</v>
      </c>
      <c r="D39" s="171" t="s">
        <v>367</v>
      </c>
      <c r="E39" s="183">
        <v>5.0</v>
      </c>
      <c r="F39" s="185"/>
      <c r="G39" s="147" t="s">
        <v>1267</v>
      </c>
      <c r="H39" s="184">
        <v>33.99</v>
      </c>
      <c r="I39" s="10" t="s">
        <v>366</v>
      </c>
      <c r="J39" s="10"/>
      <c r="K39" s="10" t="s">
        <v>367</v>
      </c>
      <c r="L39" s="10" t="s">
        <v>1101</v>
      </c>
      <c r="M39" s="15"/>
      <c r="N39" s="16" t="s">
        <v>1287</v>
      </c>
      <c r="O39" s="15"/>
      <c r="P39" s="15"/>
      <c r="Q39" s="15"/>
    </row>
    <row r="40">
      <c r="A40" s="197" t="s">
        <v>1288</v>
      </c>
      <c r="B40" s="195" t="s">
        <v>1289</v>
      </c>
      <c r="C40" s="9">
        <v>4.0</v>
      </c>
      <c r="D40" s="9" t="s">
        <v>756</v>
      </c>
      <c r="E40" s="190">
        <v>12.0</v>
      </c>
      <c r="F40" s="15"/>
      <c r="G40" s="9" t="s">
        <v>1130</v>
      </c>
      <c r="H40" s="192">
        <v>15.0</v>
      </c>
      <c r="I40" s="9" t="s">
        <v>366</v>
      </c>
      <c r="J40" s="15"/>
      <c r="K40" s="9"/>
      <c r="L40" s="9" t="s">
        <v>1101</v>
      </c>
      <c r="M40" s="9" t="s">
        <v>1290</v>
      </c>
      <c r="N40" s="23" t="s">
        <v>1291</v>
      </c>
      <c r="O40" s="156"/>
      <c r="P40" s="156"/>
      <c r="Q40" s="156"/>
    </row>
    <row r="41">
      <c r="A41" s="197" t="s">
        <v>1292</v>
      </c>
      <c r="B41" s="195" t="s">
        <v>1289</v>
      </c>
      <c r="C41" s="9">
        <v>4.0</v>
      </c>
      <c r="D41" s="9" t="s">
        <v>756</v>
      </c>
      <c r="E41" s="190">
        <v>12.0</v>
      </c>
      <c r="F41" s="15"/>
      <c r="G41" s="9" t="s">
        <v>1293</v>
      </c>
      <c r="H41" s="192">
        <v>18.0</v>
      </c>
      <c r="I41" s="9" t="s">
        <v>366</v>
      </c>
      <c r="J41" s="15"/>
      <c r="K41" s="9"/>
      <c r="L41" s="9" t="s">
        <v>1101</v>
      </c>
      <c r="M41" s="9" t="s">
        <v>1294</v>
      </c>
      <c r="N41" s="23" t="s">
        <v>1295</v>
      </c>
      <c r="O41" s="156"/>
      <c r="P41" s="156"/>
      <c r="Q41" s="156"/>
    </row>
    <row r="42">
      <c r="A42" s="194" t="str">
        <f>HYPERLINK("https://www.amazon.com/ACROBOTIC-ESP8266-Adapter-WS2812B-Raspberry/dp/B07JFCGH8C","ESP Level Shifter")</f>
        <v>ESP Level Shifter</v>
      </c>
      <c r="B42" s="206"/>
      <c r="C42" s="111">
        <v>1.0</v>
      </c>
      <c r="D42" s="111" t="s">
        <v>367</v>
      </c>
      <c r="E42" s="183">
        <v>5.0</v>
      </c>
      <c r="F42" s="185"/>
      <c r="G42" s="147" t="s">
        <v>1194</v>
      </c>
      <c r="H42" s="184">
        <v>8.99</v>
      </c>
      <c r="I42" s="15"/>
      <c r="J42" s="15"/>
      <c r="K42" s="15"/>
      <c r="L42" s="15"/>
      <c r="M42" s="15"/>
      <c r="N42" s="13" t="s">
        <v>1296</v>
      </c>
      <c r="O42" s="15"/>
      <c r="P42" s="15"/>
      <c r="Q42" s="15"/>
    </row>
    <row r="43">
      <c r="A43" s="194" t="str">
        <f>HYPERLINK("https://jboards.ecwid.com/ESPixNode-p127558674","ESP Pixnode")</f>
        <v>ESP Pixnode</v>
      </c>
      <c r="B43" s="206"/>
      <c r="C43" s="111">
        <v>6.0</v>
      </c>
      <c r="D43" s="111" t="s">
        <v>367</v>
      </c>
      <c r="E43" s="183">
        <v>5.0</v>
      </c>
      <c r="F43" s="185"/>
      <c r="G43" s="147" t="s">
        <v>1297</v>
      </c>
      <c r="H43" s="184">
        <v>13.0</v>
      </c>
      <c r="I43" s="15"/>
      <c r="J43" s="15"/>
      <c r="K43" s="15"/>
      <c r="L43" s="15"/>
      <c r="M43" s="15"/>
      <c r="N43" s="16" t="s">
        <v>1298</v>
      </c>
      <c r="O43" s="15"/>
      <c r="P43" s="15"/>
      <c r="Q43" s="15"/>
    </row>
    <row r="44">
      <c r="A44" s="181" t="str">
        <f>HYPERLINK("https://espartstick.ecwid.com/","ESPArtstick")</f>
        <v>ESPArtstick</v>
      </c>
      <c r="B44" s="207"/>
      <c r="C44" s="10">
        <v>6.0</v>
      </c>
      <c r="D44" s="10" t="s">
        <v>367</v>
      </c>
      <c r="E44" s="183">
        <v>5.0</v>
      </c>
      <c r="F44" s="185"/>
      <c r="G44" s="147" t="s">
        <v>1204</v>
      </c>
      <c r="H44" s="184">
        <v>25.0</v>
      </c>
      <c r="I44" s="15"/>
      <c r="J44" s="15"/>
      <c r="K44" s="15"/>
      <c r="L44" s="15"/>
      <c r="M44" s="15"/>
      <c r="N44" s="16" t="s">
        <v>1299</v>
      </c>
      <c r="O44" s="15"/>
      <c r="P44" s="15"/>
      <c r="Q44" s="15"/>
    </row>
    <row r="45">
      <c r="A45" s="181" t="str">
        <f>HYPERLINK("https://www.amazon.com/ESPixelStick-Wireless-DMX-Pixel-Controller/dp/B072XT1V77/","ESPixelstick")</f>
        <v>ESPixelstick</v>
      </c>
      <c r="B45" s="207"/>
      <c r="C45" s="10">
        <v>4.0</v>
      </c>
      <c r="D45" s="10" t="s">
        <v>367</v>
      </c>
      <c r="E45" s="183">
        <v>5.0</v>
      </c>
      <c r="F45" s="185"/>
      <c r="G45" s="147" t="s">
        <v>1300</v>
      </c>
      <c r="H45" s="184">
        <v>30.0</v>
      </c>
      <c r="I45" s="15"/>
      <c r="J45" s="15"/>
      <c r="K45" s="15"/>
      <c r="L45" s="15"/>
      <c r="M45" s="15"/>
      <c r="N45" s="16" t="s">
        <v>1301</v>
      </c>
      <c r="O45" s="15"/>
      <c r="P45" s="15"/>
      <c r="Q45" s="15"/>
    </row>
    <row r="46">
      <c r="A46" s="181" t="str">
        <f>HYPERLINK("https://quinled.info/2018/10/12/quinled-dig-uno-hardware-guide/#quinled-quad-pcb-boards","QuinLED-Dig-Uno ")</f>
        <v>QuinLED-Dig-Uno </v>
      </c>
      <c r="B46" s="207"/>
      <c r="C46" s="10">
        <v>6.0</v>
      </c>
      <c r="D46" s="10" t="s">
        <v>367</v>
      </c>
      <c r="E46" s="183">
        <v>5.0</v>
      </c>
      <c r="F46" s="185"/>
      <c r="G46" s="147" t="s">
        <v>1204</v>
      </c>
      <c r="H46" s="184"/>
      <c r="I46" s="10" t="s">
        <v>1302</v>
      </c>
      <c r="J46" s="15"/>
      <c r="K46" s="15"/>
      <c r="L46" s="10" t="s">
        <v>1095</v>
      </c>
      <c r="M46" s="15"/>
      <c r="N46" s="16" t="s">
        <v>1303</v>
      </c>
      <c r="O46" s="15"/>
      <c r="P46" s="15"/>
      <c r="Q46" s="15"/>
    </row>
    <row r="47">
      <c r="A47" s="181" t="str">
        <f>HYPERLINK("http://spixels.org/","SPIxels Board")</f>
        <v>SPIxels Board</v>
      </c>
      <c r="B47" s="207"/>
      <c r="C47" s="10">
        <v>16.0</v>
      </c>
      <c r="D47" s="183" t="s">
        <v>504</v>
      </c>
      <c r="E47" s="183">
        <v>5.0</v>
      </c>
      <c r="F47" s="185"/>
      <c r="G47" s="10" t="s">
        <v>1219</v>
      </c>
      <c r="H47" s="184"/>
      <c r="I47" s="10" t="s">
        <v>650</v>
      </c>
      <c r="J47" s="10"/>
      <c r="K47" s="10" t="s">
        <v>504</v>
      </c>
      <c r="L47" s="10" t="s">
        <v>1095</v>
      </c>
      <c r="M47" s="147"/>
      <c r="N47" s="16" t="s">
        <v>1304</v>
      </c>
      <c r="O47" s="15"/>
      <c r="P47" s="15"/>
      <c r="Q47" s="15"/>
    </row>
    <row r="48">
      <c r="A48" s="189" t="s">
        <v>1305</v>
      </c>
      <c r="B48" s="188" t="s">
        <v>1306</v>
      </c>
      <c r="C48" s="9">
        <v>1.0</v>
      </c>
      <c r="D48" s="190" t="s">
        <v>367</v>
      </c>
      <c r="E48" s="190" t="s">
        <v>1307</v>
      </c>
      <c r="F48" s="185"/>
      <c r="G48" s="10"/>
      <c r="H48" s="184"/>
      <c r="I48" s="9" t="s">
        <v>371</v>
      </c>
      <c r="J48" s="10"/>
      <c r="K48" s="9" t="s">
        <v>367</v>
      </c>
      <c r="L48" s="9" t="s">
        <v>1101</v>
      </c>
      <c r="M48" s="148" t="s">
        <v>1308</v>
      </c>
      <c r="N48" s="30" t="s">
        <v>1309</v>
      </c>
      <c r="O48" s="15"/>
      <c r="P48" s="15"/>
      <c r="Q48" s="15"/>
    </row>
    <row r="49">
      <c r="A49" s="208"/>
      <c r="B49" s="188"/>
      <c r="C49" s="9"/>
      <c r="D49" s="190"/>
      <c r="E49" s="190"/>
      <c r="F49" s="185"/>
      <c r="G49" s="10"/>
      <c r="H49" s="184"/>
      <c r="I49" s="9"/>
      <c r="J49" s="10"/>
      <c r="K49" s="9"/>
      <c r="L49" s="9"/>
      <c r="M49" s="148"/>
      <c r="N49" s="9"/>
      <c r="O49" s="15"/>
      <c r="P49" s="15"/>
      <c r="Q49" s="15"/>
    </row>
  </sheetData>
  <conditionalFormatting sqref="A2:Q49">
    <cfRule type="expression" dxfId="6" priority="1">
      <formula>isodd(row())</formula>
    </cfRule>
  </conditionalFormatting>
  <dataValidations>
    <dataValidation type="decimal" operator="greaterThan" allowBlank="1" showDropDown="1" showInputMessage="1" prompt="Enter a single positive voltage" sqref="J27">
      <formula1>0.0</formula1>
    </dataValidation>
    <dataValidation type="decimal" operator="greaterThan" allowBlank="1" showDropDown="1" showInputMessage="1" prompt="Enter a number greater than 0" sqref="C2:C3 E2:F3 H2:H3 C5:C12 E5:F12 H5:H12 E13 C14 E14:F14 H14 C16 E16:F16 H16 E17:E18 C19:C26 E19:F26 H19:H26 C27:D27 C28:C29 E28:F29 H28:H29 C31:C39 E31:F39 H31:H39 E40:E41 C42:C49 E42:F49 H42:H49">
      <formula1>0.0</formula1>
    </dataValidation>
    <dataValidation type="list" allowBlank="1" sqref="I27">
      <formula1>"Async,Clocked,Both"</formula1>
    </dataValidation>
    <dataValidation type="decimal" operator="greaterThan" allowBlank="1" showDropDown="1" showInputMessage="1" prompt="Enter a positive number of USD" sqref="H27">
      <formula1>0.0</formula1>
    </dataValidation>
    <dataValidation type="decimal" operator="greaterThanOrEqual" allowBlank="1" showDropDown="1" showInputMessage="1" prompt="Enter a positive current (in amps)" sqref="K27">
      <formula1>0.0</formula1>
    </dataValidation>
  </dataValidations>
  <hyperlinks>
    <hyperlink r:id="rId4" ref="N2"/>
    <hyperlink r:id="rId5" ref="N3"/>
    <hyperlink r:id="rId6" ref="N5"/>
    <hyperlink r:id="rId7" ref="A6"/>
    <hyperlink r:id="rId8" ref="N6"/>
    <hyperlink r:id="rId9" ref="A7"/>
    <hyperlink r:id="rId10" ref="N7"/>
    <hyperlink r:id="rId11" ref="N8"/>
    <hyperlink r:id="rId12" ref="N9"/>
    <hyperlink r:id="rId13" ref="N10"/>
    <hyperlink r:id="rId14" ref="N11"/>
    <hyperlink r:id="rId15" ref="N12"/>
    <hyperlink r:id="rId16" ref="A13"/>
    <hyperlink r:id="rId17" ref="N13"/>
    <hyperlink r:id="rId18" ref="N14"/>
    <hyperlink r:id="rId19" ref="A15"/>
    <hyperlink r:id="rId20" ref="B15"/>
    <hyperlink r:id="rId21" ref="N15"/>
    <hyperlink r:id="rId22" ref="N16"/>
    <hyperlink r:id="rId23" ref="A17"/>
    <hyperlink r:id="rId24" ref="N17"/>
    <hyperlink r:id="rId25" ref="A18"/>
    <hyperlink r:id="rId26" ref="N18"/>
    <hyperlink r:id="rId27" ref="N19"/>
    <hyperlink r:id="rId28" ref="N20"/>
    <hyperlink r:id="rId29" ref="N21"/>
    <hyperlink r:id="rId30" ref="N22"/>
    <hyperlink r:id="rId31" ref="N23"/>
    <hyperlink r:id="rId32" ref="A24"/>
    <hyperlink r:id="rId33" location="!/WLED-5v-12V-SD-Card-WiFi-EspArtStick-pixel-controller/p/170368862/category=0" ref="N24"/>
    <hyperlink r:id="rId34" location="!/M4-PI-Raspberry-Pi-4-Port-Pixel-controller/p/468426786/category=0" ref="A25"/>
    <hyperlink r:id="rId35" location="!/M4-PI-Raspberry-Pi-4-Port-Pixel-controller/p/468426786/category=0" ref="N25"/>
    <hyperlink r:id="rId36" location="!/M8-PI-Raspberry-Pi-8-Port-Pixel-controller/p/471859299/category=0" ref="A26"/>
    <hyperlink r:id="rId37" location="!/M8-PI-Raspberry-Pi-8-Port-Pixel-controller/p/471859299/category=0" ref="N26"/>
    <hyperlink r:id="rId38" ref="A27"/>
    <hyperlink r:id="rId39" ref="A28"/>
    <hyperlink r:id="rId40" ref="B28"/>
    <hyperlink r:id="rId41" ref="N28"/>
    <hyperlink r:id="rId42" ref="A29"/>
    <hyperlink r:id="rId43" ref="B29"/>
    <hyperlink r:id="rId44" ref="N29"/>
    <hyperlink r:id="rId45" ref="A30"/>
    <hyperlink r:id="rId46" ref="B30"/>
    <hyperlink r:id="rId47" ref="N30"/>
    <hyperlink r:id="rId48" ref="N31"/>
    <hyperlink r:id="rId49" ref="N32"/>
    <hyperlink r:id="rId50" ref="A33"/>
    <hyperlink r:id="rId51" ref="N33"/>
    <hyperlink r:id="rId52" ref="A34"/>
    <hyperlink r:id="rId53" ref="N34"/>
    <hyperlink r:id="rId54" ref="A35"/>
    <hyperlink r:id="rId55" ref="N35"/>
    <hyperlink r:id="rId56" ref="A36"/>
    <hyperlink r:id="rId57" ref="I36"/>
    <hyperlink r:id="rId58" ref="N36"/>
    <hyperlink r:id="rId59" ref="A37"/>
    <hyperlink r:id="rId60" ref="N37"/>
    <hyperlink r:id="rId61" ref="N38"/>
    <hyperlink r:id="rId62" ref="N39"/>
    <hyperlink r:id="rId63" ref="A40"/>
    <hyperlink r:id="rId64" ref="N40"/>
    <hyperlink r:id="rId65" ref="A41"/>
    <hyperlink r:id="rId66" ref="N41"/>
    <hyperlink r:id="rId67" ref="N42"/>
    <hyperlink r:id="rId68" ref="N43"/>
    <hyperlink r:id="rId69" ref="N44"/>
    <hyperlink r:id="rId70" ref="N45"/>
    <hyperlink r:id="rId71" location="quinled-quad-pcb-boards" ref="N46"/>
    <hyperlink r:id="rId72" ref="N47"/>
    <hyperlink r:id="rId73" ref="A48"/>
    <hyperlink r:id="rId74" ref="N48"/>
  </hyperlinks>
  <drawing r:id="rId75"/>
  <legacyDrawing r:id="rId76"/>
  <tableParts count="1">
    <tablePart r:id="rId7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6.5"/>
    <col customWidth="1" min="2" max="2" width="50.25"/>
    <col customWidth="1" min="3" max="3" width="23.63"/>
    <col customWidth="1" min="4" max="4" width="124.13"/>
    <col customWidth="1" min="5" max="5" width="41.63"/>
    <col customWidth="1" min="6" max="6" width="22.0"/>
    <col customWidth="1" min="7" max="7" width="20.25"/>
    <col customWidth="1" min="8" max="8" width="29.25"/>
  </cols>
  <sheetData>
    <row r="1">
      <c r="A1" s="4" t="s">
        <v>1310</v>
      </c>
      <c r="B1" s="209" t="s">
        <v>54</v>
      </c>
      <c r="C1" s="209" t="s">
        <v>1311</v>
      </c>
      <c r="D1" s="209" t="s">
        <v>1312</v>
      </c>
      <c r="E1" s="209" t="s">
        <v>76</v>
      </c>
      <c r="F1" s="210" t="s">
        <v>1313</v>
      </c>
      <c r="G1" s="210" t="s">
        <v>1314</v>
      </c>
      <c r="H1" s="210" t="s">
        <v>1315</v>
      </c>
    </row>
    <row r="2">
      <c r="A2" s="16" t="str">
        <f>HYPERLINK("https://github.com/Xaver2k/ArduinoENC_Artnet-WS2811","Arduino Ethernet Nano with ENC28J60")</f>
        <v>Arduino Ethernet Nano with ENC28J60</v>
      </c>
      <c r="B2" s="10" t="s">
        <v>1316</v>
      </c>
      <c r="C2" s="10" t="s">
        <v>1317</v>
      </c>
      <c r="D2" s="10" t="s">
        <v>1318</v>
      </c>
      <c r="E2" s="16" t="s">
        <v>1319</v>
      </c>
      <c r="F2" s="10"/>
      <c r="G2" s="10"/>
      <c r="H2" s="10"/>
    </row>
    <row r="3">
      <c r="A3" s="13" t="s">
        <v>1320</v>
      </c>
      <c r="B3" s="9" t="s">
        <v>1321</v>
      </c>
      <c r="C3" s="9" t="s">
        <v>1322</v>
      </c>
      <c r="D3" s="9" t="s">
        <v>1323</v>
      </c>
      <c r="E3" s="23" t="s">
        <v>1324</v>
      </c>
      <c r="F3" s="9"/>
      <c r="G3" s="22"/>
      <c r="H3" s="22"/>
    </row>
    <row r="4">
      <c r="A4" s="16" t="str">
        <f>HYPERLINK("https://github.com/natcl/Artnet","Artnet Receive")</f>
        <v>Artnet Receive</v>
      </c>
      <c r="B4" s="10" t="s">
        <v>1325</v>
      </c>
      <c r="C4" s="10" t="s">
        <v>1326</v>
      </c>
      <c r="D4" s="9" t="s">
        <v>770</v>
      </c>
      <c r="E4" s="16" t="s">
        <v>1327</v>
      </c>
      <c r="F4" s="10"/>
      <c r="G4" s="10"/>
      <c r="H4" s="10"/>
    </row>
    <row r="5">
      <c r="A5" s="16" t="str">
        <f>HYPERLINK("http://www.tlhome.de/ATCE.htm","ArtNet to TMP2 Convertor")</f>
        <v>ArtNet to TMP2 Convertor</v>
      </c>
      <c r="B5" s="10" t="s">
        <v>1328</v>
      </c>
      <c r="C5" s="15"/>
      <c r="D5" s="10" t="s">
        <v>1329</v>
      </c>
      <c r="E5" s="16" t="s">
        <v>1330</v>
      </c>
      <c r="F5" s="10"/>
      <c r="G5" s="10"/>
      <c r="H5" s="10"/>
    </row>
    <row r="6">
      <c r="A6" s="16" t="s">
        <v>1331</v>
      </c>
      <c r="B6" s="10" t="s">
        <v>1332</v>
      </c>
      <c r="C6" s="10" t="s">
        <v>1333</v>
      </c>
      <c r="D6" s="10" t="s">
        <v>1334</v>
      </c>
      <c r="E6" s="16" t="s">
        <v>1335</v>
      </c>
      <c r="F6" s="10"/>
      <c r="G6" s="10"/>
      <c r="H6" s="10"/>
    </row>
    <row r="7">
      <c r="A7" s="23" t="s">
        <v>1336</v>
      </c>
      <c r="B7" s="9" t="s">
        <v>1337</v>
      </c>
      <c r="C7" s="9" t="s">
        <v>1338</v>
      </c>
      <c r="D7" s="9" t="s">
        <v>1339</v>
      </c>
      <c r="E7" s="30" t="s">
        <v>1340</v>
      </c>
      <c r="F7" s="30" t="s">
        <v>1341</v>
      </c>
      <c r="G7" s="22"/>
      <c r="H7" s="22"/>
    </row>
    <row r="8">
      <c r="A8" s="16" t="s">
        <v>1342</v>
      </c>
      <c r="B8" s="10" t="s">
        <v>1343</v>
      </c>
      <c r="C8" s="10" t="s">
        <v>1344</v>
      </c>
      <c r="D8" s="15"/>
      <c r="E8" s="16" t="s">
        <v>1345</v>
      </c>
      <c r="F8" s="10"/>
      <c r="G8" s="10"/>
      <c r="H8" s="10"/>
    </row>
    <row r="9">
      <c r="A9" s="16" t="str">
        <f>HYPERLINK("https://github.com/jspolsky/branchController2","branchController2")</f>
        <v>branchController2</v>
      </c>
      <c r="B9" s="10" t="s">
        <v>1346</v>
      </c>
      <c r="C9" s="10" t="s">
        <v>1347</v>
      </c>
      <c r="D9" s="10" t="s">
        <v>1348</v>
      </c>
      <c r="E9" s="16" t="s">
        <v>1349</v>
      </c>
      <c r="F9" s="10"/>
      <c r="G9" s="10"/>
      <c r="H9" s="10"/>
    </row>
    <row r="10">
      <c r="A10" s="211" t="s">
        <v>1350</v>
      </c>
      <c r="B10" s="9" t="s">
        <v>1351</v>
      </c>
      <c r="C10" s="9" t="s">
        <v>1300</v>
      </c>
      <c r="D10" s="9" t="s">
        <v>1352</v>
      </c>
      <c r="E10" s="30" t="s">
        <v>1353</v>
      </c>
      <c r="F10" s="9"/>
      <c r="G10" s="9"/>
      <c r="H10" s="9"/>
    </row>
    <row r="11">
      <c r="A11" s="16" t="str">
        <f>HYPERLINK("https://github.com/forkineye/ESPixelStick","ESPixelstick")</f>
        <v>ESPixelstick</v>
      </c>
      <c r="B11" s="10" t="s">
        <v>1354</v>
      </c>
      <c r="C11" s="10" t="s">
        <v>1344</v>
      </c>
      <c r="D11" s="15"/>
      <c r="E11" s="23" t="s">
        <v>1355</v>
      </c>
      <c r="F11" s="20"/>
      <c r="G11" s="20"/>
      <c r="H11" s="20"/>
    </row>
    <row r="12">
      <c r="A12" s="16" t="str">
        <f>HYPERLINK("https://github.com/sonyhome/FAB_LED","FAB_LED")</f>
        <v>FAB_LED</v>
      </c>
      <c r="B12" s="10" t="s">
        <v>1356</v>
      </c>
      <c r="C12" s="10" t="s">
        <v>1357</v>
      </c>
      <c r="D12" s="10" t="s">
        <v>1358</v>
      </c>
      <c r="E12" s="16" t="s">
        <v>1359</v>
      </c>
      <c r="F12" s="10"/>
      <c r="G12" s="10"/>
      <c r="H12" s="10"/>
    </row>
    <row r="13">
      <c r="A13" s="211" t="s">
        <v>1360</v>
      </c>
      <c r="B13" s="9" t="s">
        <v>1361</v>
      </c>
      <c r="C13" s="9" t="s">
        <v>1362</v>
      </c>
      <c r="D13" s="9" t="s">
        <v>1363</v>
      </c>
      <c r="E13" s="30" t="s">
        <v>1364</v>
      </c>
      <c r="F13" s="30" t="s">
        <v>1365</v>
      </c>
      <c r="G13" s="10"/>
      <c r="H13" s="10"/>
    </row>
    <row r="14">
      <c r="A14" s="16" t="str">
        <f>HYPERLINK("https://github.com/FastLED/FastLED","FastLED")</f>
        <v>FastLED</v>
      </c>
      <c r="B14" s="9" t="s">
        <v>1366</v>
      </c>
      <c r="C14" s="10" t="s">
        <v>1367</v>
      </c>
      <c r="D14" s="15"/>
      <c r="E14" s="16" t="s">
        <v>1368</v>
      </c>
      <c r="F14" s="30" t="s">
        <v>1369</v>
      </c>
      <c r="G14" s="10"/>
      <c r="H14" s="10"/>
    </row>
    <row r="15">
      <c r="A15" s="16" t="str">
        <f>HYPERLINK("https://github.com/hpwit/FASTLEDVIRTUALDRIVER","fastLEDVirtualDriver")</f>
        <v>fastLEDVirtualDriver</v>
      </c>
      <c r="B15" s="10" t="s">
        <v>1370</v>
      </c>
      <c r="C15" s="15"/>
      <c r="D15" s="15"/>
      <c r="E15" s="16" t="s">
        <v>1371</v>
      </c>
      <c r="F15" s="10"/>
      <c r="G15" s="10"/>
      <c r="H15" s="10"/>
    </row>
    <row r="16">
      <c r="A16" s="23" t="s">
        <v>1372</v>
      </c>
      <c r="B16" s="9" t="s">
        <v>1373</v>
      </c>
      <c r="C16" s="9" t="s">
        <v>1374</v>
      </c>
      <c r="D16" s="9" t="s">
        <v>1375</v>
      </c>
      <c r="E16" s="23" t="s">
        <v>1376</v>
      </c>
      <c r="F16" s="9"/>
      <c r="G16" s="22"/>
      <c r="H16" s="22"/>
    </row>
    <row r="17">
      <c r="A17" s="13" t="s">
        <v>1377</v>
      </c>
      <c r="B17" s="9" t="s">
        <v>1378</v>
      </c>
      <c r="C17" s="9" t="s">
        <v>1357</v>
      </c>
      <c r="D17" s="9" t="s">
        <v>1379</v>
      </c>
      <c r="E17" s="20"/>
      <c r="F17" s="9"/>
      <c r="G17" s="22"/>
      <c r="H17" s="22"/>
    </row>
    <row r="18">
      <c r="A18" s="16" t="str">
        <f>HYPERLINK("https://github.com/PWRFLcreative/Lightwork","Lightwork")</f>
        <v>Lightwork</v>
      </c>
      <c r="B18" s="10" t="s">
        <v>1380</v>
      </c>
      <c r="C18" s="15"/>
      <c r="D18" s="10" t="s">
        <v>1381</v>
      </c>
      <c r="E18" s="16" t="s">
        <v>1382</v>
      </c>
      <c r="F18" s="10"/>
      <c r="G18" s="10"/>
      <c r="H18" s="10"/>
    </row>
    <row r="19">
      <c r="A19" s="16" t="s">
        <v>1383</v>
      </c>
      <c r="B19" s="10" t="s">
        <v>1384</v>
      </c>
      <c r="C19" s="9" t="s">
        <v>1385</v>
      </c>
      <c r="D19" s="9" t="s">
        <v>1386</v>
      </c>
      <c r="E19" s="16" t="s">
        <v>1387</v>
      </c>
      <c r="F19" s="10"/>
      <c r="G19" s="10"/>
      <c r="H19" s="10"/>
    </row>
    <row r="20">
      <c r="A20" s="16" t="str">
        <f>HYPERLINK("https://github.com/adafruit/Adafruit_NeoPixel","NeoPixel")</f>
        <v>NeoPixel</v>
      </c>
      <c r="B20" s="10" t="s">
        <v>370</v>
      </c>
      <c r="C20" s="10" t="s">
        <v>1367</v>
      </c>
      <c r="D20" s="10" t="s">
        <v>1388</v>
      </c>
      <c r="E20" s="16" t="s">
        <v>1389</v>
      </c>
      <c r="F20" s="30" t="s">
        <v>1390</v>
      </c>
      <c r="G20" s="10"/>
      <c r="H20" s="10"/>
    </row>
    <row r="21">
      <c r="A21" s="212" t="s">
        <v>1391</v>
      </c>
      <c r="B21" s="9" t="s">
        <v>1392</v>
      </c>
      <c r="C21" s="9" t="s">
        <v>1362</v>
      </c>
      <c r="D21" s="213" t="s">
        <v>1393</v>
      </c>
      <c r="E21" s="30" t="s">
        <v>1394</v>
      </c>
      <c r="F21" s="23" t="s">
        <v>1395</v>
      </c>
      <c r="G21" s="9"/>
      <c r="H21" s="9"/>
    </row>
    <row r="22">
      <c r="A22" s="16" t="str">
        <f>HYPERLINK("https://www.pjrc.com/teensy/td_libs_OctoWS2811.html","OctoWS2811")</f>
        <v>OctoWS2811</v>
      </c>
      <c r="B22" s="10" t="s">
        <v>1266</v>
      </c>
      <c r="C22" s="10" t="s">
        <v>1347</v>
      </c>
      <c r="D22" s="15"/>
      <c r="E22" s="16" t="s">
        <v>1396</v>
      </c>
      <c r="F22" s="10"/>
      <c r="G22" s="10"/>
      <c r="H22" s="10"/>
    </row>
    <row r="23">
      <c r="A23" s="13" t="s">
        <v>1397</v>
      </c>
      <c r="B23" s="9" t="s">
        <v>1398</v>
      </c>
      <c r="C23" s="9" t="s">
        <v>1399</v>
      </c>
      <c r="D23" s="9" t="s">
        <v>1400</v>
      </c>
      <c r="E23" s="23" t="s">
        <v>1401</v>
      </c>
      <c r="F23" s="9"/>
      <c r="G23" s="22"/>
      <c r="H23" s="22"/>
    </row>
    <row r="24">
      <c r="A24" s="212" t="s">
        <v>1402</v>
      </c>
      <c r="B24" s="214" t="s">
        <v>1179</v>
      </c>
      <c r="C24" s="9" t="s">
        <v>1181</v>
      </c>
      <c r="D24" s="9" t="s">
        <v>1403</v>
      </c>
      <c r="E24" s="23" t="s">
        <v>1404</v>
      </c>
      <c r="F24" s="10"/>
      <c r="G24" s="10"/>
      <c r="H24" s="10"/>
    </row>
    <row r="25">
      <c r="A25" s="16" t="str">
        <f>HYPERLINK("https://github.com/ssilverman/TeensyDMX","TeensyDMX")</f>
        <v>TeensyDMX</v>
      </c>
      <c r="B25" s="10" t="s">
        <v>1405</v>
      </c>
      <c r="C25" s="10" t="s">
        <v>1406</v>
      </c>
      <c r="D25" s="9" t="s">
        <v>1407</v>
      </c>
      <c r="E25" s="16" t="s">
        <v>1408</v>
      </c>
      <c r="F25" s="10"/>
      <c r="G25" s="10"/>
      <c r="H25" s="10"/>
    </row>
    <row r="26">
      <c r="A26" s="16" t="str">
        <f>HYPERLINK("https://github.com/wramsdell/TriantaduoWS2811","TriantaduoWS2811")</f>
        <v>TriantaduoWS2811</v>
      </c>
      <c r="B26" s="10" t="s">
        <v>1409</v>
      </c>
      <c r="C26" s="10" t="s">
        <v>1410</v>
      </c>
      <c r="D26" s="10" t="s">
        <v>1411</v>
      </c>
      <c r="E26" s="16" t="s">
        <v>1412</v>
      </c>
      <c r="F26" s="10"/>
      <c r="G26" s="10"/>
      <c r="H26" s="10"/>
    </row>
    <row r="27">
      <c r="A27" s="23" t="s">
        <v>1413</v>
      </c>
      <c r="B27" s="9" t="s">
        <v>1414</v>
      </c>
      <c r="C27" s="9" t="s">
        <v>1415</v>
      </c>
      <c r="D27" s="9" t="s">
        <v>1416</v>
      </c>
      <c r="E27" s="23" t="s">
        <v>1417</v>
      </c>
      <c r="F27" s="9"/>
      <c r="G27" s="22"/>
      <c r="H27" s="22"/>
    </row>
    <row r="28">
      <c r="A28" s="16" t="str">
        <f>HYPERLINK("https://github.com/Aircoookie/WLED","WLED")</f>
        <v>WLED</v>
      </c>
      <c r="B28" s="10" t="s">
        <v>1418</v>
      </c>
      <c r="C28" s="10" t="s">
        <v>1344</v>
      </c>
      <c r="D28" s="10" t="s">
        <v>1419</v>
      </c>
      <c r="E28" s="16" t="s">
        <v>1420</v>
      </c>
      <c r="F28" s="30" t="s">
        <v>1421</v>
      </c>
      <c r="G28" s="13" t="s">
        <v>1422</v>
      </c>
      <c r="H28" s="13" t="s">
        <v>1423</v>
      </c>
    </row>
    <row r="29">
      <c r="A29" s="23" t="s">
        <v>1424</v>
      </c>
      <c r="B29" s="9" t="s">
        <v>1425</v>
      </c>
      <c r="C29" s="9" t="s">
        <v>1426</v>
      </c>
      <c r="D29" s="9" t="s">
        <v>1427</v>
      </c>
      <c r="E29" s="23" t="s">
        <v>1428</v>
      </c>
      <c r="F29" s="9"/>
      <c r="G29" s="13" t="s">
        <v>1429</v>
      </c>
      <c r="H29" s="22"/>
    </row>
    <row r="30">
      <c r="A30" s="13" t="s">
        <v>1430</v>
      </c>
      <c r="B30" s="9" t="s">
        <v>108</v>
      </c>
      <c r="C30" s="9" t="s">
        <v>1362</v>
      </c>
      <c r="D30" s="9" t="s">
        <v>1431</v>
      </c>
      <c r="E30" s="13" t="s">
        <v>1432</v>
      </c>
      <c r="F30" s="9"/>
      <c r="G30" s="22"/>
      <c r="H30" s="22"/>
    </row>
    <row r="31">
      <c r="A31" s="22"/>
      <c r="B31" s="9"/>
      <c r="C31" s="9"/>
      <c r="D31" s="9"/>
      <c r="E31" s="20"/>
      <c r="F31" s="9"/>
      <c r="G31" s="22"/>
      <c r="H31" s="22"/>
    </row>
  </sheetData>
  <hyperlinks>
    <hyperlink r:id="rId4" ref="E2"/>
    <hyperlink r:id="rId5" ref="A3"/>
    <hyperlink r:id="rId6" ref="E3"/>
    <hyperlink r:id="rId7" ref="E4"/>
    <hyperlink r:id="rId8" ref="E5"/>
    <hyperlink r:id="rId9" ref="A6"/>
    <hyperlink r:id="rId10" ref="E6"/>
    <hyperlink r:id="rId11" ref="A7"/>
    <hyperlink r:id="rId12" ref="E7"/>
    <hyperlink r:id="rId13" ref="F7"/>
    <hyperlink r:id="rId14" ref="A8"/>
    <hyperlink r:id="rId15" ref="E8"/>
    <hyperlink r:id="rId16" ref="E9"/>
    <hyperlink r:id="rId17" ref="A10"/>
    <hyperlink r:id="rId18" ref="E10"/>
    <hyperlink r:id="rId19" ref="E11"/>
    <hyperlink r:id="rId20" ref="E12"/>
    <hyperlink r:id="rId21" ref="A13"/>
    <hyperlink r:id="rId22" ref="E13"/>
    <hyperlink r:id="rId23" ref="F13"/>
    <hyperlink r:id="rId24" ref="E14"/>
    <hyperlink r:id="rId25" ref="F14"/>
    <hyperlink r:id="rId26" ref="E15"/>
    <hyperlink r:id="rId27" ref="A16"/>
    <hyperlink r:id="rId28" ref="E16"/>
    <hyperlink r:id="rId29" ref="A17"/>
    <hyperlink r:id="rId30" ref="E18"/>
    <hyperlink r:id="rId31" ref="A19"/>
    <hyperlink r:id="rId32" ref="E19"/>
    <hyperlink r:id="rId33" ref="E20"/>
    <hyperlink r:id="rId34" ref="F20"/>
    <hyperlink r:id="rId35" ref="A21"/>
    <hyperlink r:id="rId36" ref="E21"/>
    <hyperlink r:id="rId37" ref="F21"/>
    <hyperlink r:id="rId38" ref="E22"/>
    <hyperlink r:id="rId39" ref="A23"/>
    <hyperlink r:id="rId40" ref="E23"/>
    <hyperlink r:id="rId41" ref="A24"/>
    <hyperlink r:id="rId42" ref="E24"/>
    <hyperlink r:id="rId43" ref="E25"/>
    <hyperlink r:id="rId44" ref="E26"/>
    <hyperlink r:id="rId45" ref="A27"/>
    <hyperlink r:id="rId46" ref="E27"/>
    <hyperlink r:id="rId47" ref="E28"/>
    <hyperlink r:id="rId48" ref="F28"/>
    <hyperlink r:id="rId49" ref="G28"/>
    <hyperlink r:id="rId50" ref="H28"/>
    <hyperlink r:id="rId51" ref="A29"/>
    <hyperlink r:id="rId52" ref="E29"/>
    <hyperlink r:id="rId53" ref="G29"/>
    <hyperlink r:id="rId54" ref="A30"/>
    <hyperlink r:id="rId55" ref="E30"/>
  </hyperlinks>
  <printOptions gridLines="1" horizontalCentered="1"/>
  <pageMargins bottom="0.75" footer="0.0" header="0.0" left="0.7" right="0.7" top="0.75"/>
  <pageSetup fitToHeight="0" paperSize="9" cellComments="atEnd" orientation="landscape" pageOrder="overThenDown"/>
  <drawing r:id="rId56"/>
  <legacyDrawing r:id="rId57"/>
  <tableParts count="1">
    <tablePart r:id="rId5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63"/>
    <col customWidth="1" min="2" max="2" width="25.5"/>
    <col customWidth="1" min="3" max="3" width="18.5"/>
    <col customWidth="1" min="4" max="4" width="21.63"/>
    <col customWidth="1" min="5" max="5" width="12.38"/>
    <col customWidth="1" min="6" max="6" width="10.75"/>
    <col customWidth="1" min="7" max="8" width="15.5"/>
    <col customWidth="1" min="9" max="9" width="5.38"/>
    <col customWidth="1" min="10" max="10" width="12.75"/>
    <col customWidth="1" min="11" max="11" width="15.25"/>
    <col customWidth="1" min="12" max="12" width="14.75"/>
    <col customWidth="1" min="13" max="13" width="11.25"/>
    <col customWidth="1" min="14" max="14" width="12.0"/>
    <col customWidth="1" min="15" max="15" width="8.88"/>
    <col customWidth="1" min="16" max="16" width="13.75"/>
    <col customWidth="1" min="17" max="17" width="5.13"/>
    <col customWidth="1" min="18" max="18" width="12.13"/>
    <col customWidth="1" min="19" max="19" width="8.63"/>
    <col customWidth="1" min="20" max="20" width="7.25"/>
    <col customWidth="1" min="21" max="21" width="6.75"/>
    <col customWidth="1" min="22" max="22" width="7.75"/>
    <col customWidth="1" min="23" max="23" width="13.5"/>
    <col customWidth="1" min="24" max="24" width="11.0"/>
    <col customWidth="1" min="25" max="25" width="48.38"/>
    <col customWidth="1" min="26" max="26" width="36.0"/>
  </cols>
  <sheetData>
    <row r="1">
      <c r="A1" s="210"/>
      <c r="B1" s="209" t="s">
        <v>345</v>
      </c>
      <c r="C1" s="209" t="s">
        <v>1433</v>
      </c>
      <c r="D1" s="209" t="s">
        <v>1434</v>
      </c>
      <c r="E1" s="210" t="s">
        <v>1435</v>
      </c>
      <c r="F1" s="215" t="s">
        <v>1436</v>
      </c>
      <c r="G1" s="209" t="s">
        <v>426</v>
      </c>
      <c r="H1" s="209" t="s">
        <v>1437</v>
      </c>
      <c r="I1" s="209" t="s">
        <v>1438</v>
      </c>
      <c r="J1" s="209" t="s">
        <v>347</v>
      </c>
      <c r="K1" s="209" t="s">
        <v>1439</v>
      </c>
      <c r="L1" s="216" t="s">
        <v>1440</v>
      </c>
      <c r="M1" s="217" t="s">
        <v>1441</v>
      </c>
      <c r="N1" s="209" t="s">
        <v>396</v>
      </c>
      <c r="O1" s="209" t="s">
        <v>551</v>
      </c>
      <c r="P1" s="210" t="s">
        <v>1442</v>
      </c>
      <c r="Q1" s="210" t="s">
        <v>1443</v>
      </c>
      <c r="R1" s="209" t="s">
        <v>377</v>
      </c>
      <c r="S1" s="209" t="s">
        <v>425</v>
      </c>
      <c r="T1" s="209" t="s">
        <v>349</v>
      </c>
      <c r="U1" s="218" t="s">
        <v>1444</v>
      </c>
      <c r="V1" s="218" t="s">
        <v>1445</v>
      </c>
      <c r="W1" s="219" t="s">
        <v>1089</v>
      </c>
      <c r="X1" s="209" t="s">
        <v>834</v>
      </c>
      <c r="Y1" s="209" t="s">
        <v>361</v>
      </c>
      <c r="Z1" s="209" t="s">
        <v>48</v>
      </c>
    </row>
    <row r="2">
      <c r="A2" s="29" t="str">
        <f>HYPERLINK("https://www.adafruit.com/product/3500","Trinket M0")</f>
        <v>Trinket M0</v>
      </c>
      <c r="B2" s="10" t="s">
        <v>370</v>
      </c>
      <c r="C2" s="10" t="s">
        <v>1446</v>
      </c>
      <c r="D2" s="10" t="s">
        <v>1447</v>
      </c>
      <c r="E2" s="10" t="s">
        <v>1448</v>
      </c>
      <c r="F2" s="220">
        <v>48.0</v>
      </c>
      <c r="G2" s="10" t="s">
        <v>1449</v>
      </c>
      <c r="H2" s="10" t="s">
        <v>1450</v>
      </c>
      <c r="I2" s="10" t="s">
        <v>157</v>
      </c>
      <c r="J2" s="10">
        <v>4.0</v>
      </c>
      <c r="K2" s="10"/>
      <c r="L2" s="183">
        <v>5.0</v>
      </c>
      <c r="M2" s="221">
        <v>3.3</v>
      </c>
      <c r="N2" s="10" t="s">
        <v>1451</v>
      </c>
      <c r="O2" s="10" t="s">
        <v>81</v>
      </c>
      <c r="P2" s="15"/>
      <c r="Q2" s="15"/>
      <c r="R2" s="15"/>
      <c r="S2" s="15"/>
      <c r="T2" s="15"/>
      <c r="U2" s="192" t="s">
        <v>1452</v>
      </c>
      <c r="V2" s="192" t="s">
        <v>157</v>
      </c>
      <c r="W2" s="184">
        <v>8.95</v>
      </c>
      <c r="X2" s="15"/>
      <c r="Y2" s="16" t="s">
        <v>1453</v>
      </c>
      <c r="Z2" s="15"/>
    </row>
    <row r="3">
      <c r="A3" s="29" t="s">
        <v>1454</v>
      </c>
      <c r="B3" s="9" t="s">
        <v>370</v>
      </c>
      <c r="C3" s="9" t="s">
        <v>1455</v>
      </c>
      <c r="D3" s="10" t="s">
        <v>1456</v>
      </c>
      <c r="E3" s="10" t="s">
        <v>1457</v>
      </c>
      <c r="F3" s="222">
        <v>64.0</v>
      </c>
      <c r="G3" s="9" t="s">
        <v>1458</v>
      </c>
      <c r="H3" s="9" t="s">
        <v>1449</v>
      </c>
      <c r="I3" s="10"/>
      <c r="J3" s="9">
        <v>21.0</v>
      </c>
      <c r="K3" s="183"/>
      <c r="L3" s="183"/>
      <c r="M3" s="221"/>
      <c r="N3" s="9" t="s">
        <v>1459</v>
      </c>
      <c r="O3" s="10"/>
      <c r="P3" s="9"/>
      <c r="Q3" s="10"/>
      <c r="R3" s="10"/>
      <c r="S3" s="9" t="s">
        <v>1460</v>
      </c>
      <c r="T3" s="10"/>
      <c r="U3" s="192" t="s">
        <v>1461</v>
      </c>
      <c r="V3" s="192" t="s">
        <v>1462</v>
      </c>
      <c r="W3" s="192">
        <v>25.0</v>
      </c>
      <c r="X3" s="9">
        <v>2021.0</v>
      </c>
      <c r="Y3" s="30" t="s">
        <v>1463</v>
      </c>
      <c r="Z3" s="15"/>
    </row>
    <row r="4">
      <c r="A4" s="29" t="str">
        <f>HYPERLINK("https://www.adafruit.com/product/3010","Feather M0 WiFi")</f>
        <v>Feather M0 WiFi</v>
      </c>
      <c r="B4" s="10" t="s">
        <v>370</v>
      </c>
      <c r="C4" s="10" t="s">
        <v>1464</v>
      </c>
      <c r="D4" s="10" t="s">
        <v>1447</v>
      </c>
      <c r="E4" s="10" t="s">
        <v>1448</v>
      </c>
      <c r="F4" s="220">
        <v>48.0</v>
      </c>
      <c r="G4" s="10" t="s">
        <v>1449</v>
      </c>
      <c r="H4" s="10" t="s">
        <v>1450</v>
      </c>
      <c r="I4" s="10" t="s">
        <v>157</v>
      </c>
      <c r="J4" s="15"/>
      <c r="K4" s="183"/>
      <c r="L4" s="183"/>
      <c r="M4" s="221">
        <v>3.3</v>
      </c>
      <c r="N4" s="10" t="s">
        <v>1451</v>
      </c>
      <c r="O4" s="10" t="s">
        <v>81</v>
      </c>
      <c r="P4" s="9" t="s">
        <v>1465</v>
      </c>
      <c r="Q4" s="15"/>
      <c r="R4" s="15"/>
      <c r="S4" s="15"/>
      <c r="T4" s="15"/>
      <c r="U4" s="192" t="s">
        <v>1461</v>
      </c>
      <c r="V4" s="192" t="s">
        <v>1462</v>
      </c>
      <c r="W4" s="184"/>
      <c r="X4" s="15"/>
      <c r="Y4" s="16" t="s">
        <v>1466</v>
      </c>
      <c r="Z4" s="15"/>
    </row>
    <row r="5">
      <c r="A5" s="29" t="s">
        <v>1467</v>
      </c>
      <c r="B5" s="10" t="s">
        <v>1357</v>
      </c>
      <c r="C5" s="9" t="s">
        <v>1468</v>
      </c>
      <c r="D5" s="10" t="s">
        <v>1469</v>
      </c>
      <c r="E5" s="10"/>
      <c r="F5" s="220">
        <v>16.0</v>
      </c>
      <c r="G5" s="10" t="s">
        <v>1449</v>
      </c>
      <c r="H5" s="10" t="s">
        <v>1470</v>
      </c>
      <c r="I5" s="10" t="s">
        <v>157</v>
      </c>
      <c r="J5" s="9">
        <v>54.0</v>
      </c>
      <c r="K5" s="190">
        <v>6.0</v>
      </c>
      <c r="L5" s="190">
        <v>20.0</v>
      </c>
      <c r="M5" s="221"/>
      <c r="N5" s="9" t="s">
        <v>1459</v>
      </c>
      <c r="O5" s="10"/>
      <c r="P5" s="9" t="s">
        <v>157</v>
      </c>
      <c r="Q5" s="15"/>
      <c r="R5" s="15"/>
      <c r="S5" s="15"/>
      <c r="T5" s="15"/>
      <c r="U5" s="192" t="s">
        <v>157</v>
      </c>
      <c r="V5" s="192" t="s">
        <v>157</v>
      </c>
      <c r="W5" s="192">
        <v>40.3</v>
      </c>
      <c r="X5" s="15"/>
      <c r="Y5" s="23" t="s">
        <v>1471</v>
      </c>
      <c r="Z5" s="15"/>
    </row>
    <row r="6">
      <c r="A6" s="29" t="str">
        <f>HYPERLINK("https://store.arduino.cc/products/arduino-micro","Arduino Micro")</f>
        <v>Arduino Micro</v>
      </c>
      <c r="B6" s="10" t="s">
        <v>1357</v>
      </c>
      <c r="C6" s="10" t="s">
        <v>1472</v>
      </c>
      <c r="D6" s="10" t="s">
        <v>1469</v>
      </c>
      <c r="E6" s="10" t="s">
        <v>1473</v>
      </c>
      <c r="F6" s="220">
        <v>16.0</v>
      </c>
      <c r="G6" s="10" t="s">
        <v>1450</v>
      </c>
      <c r="H6" s="10" t="s">
        <v>1474</v>
      </c>
      <c r="I6" s="10" t="s">
        <v>157</v>
      </c>
      <c r="J6" s="10"/>
      <c r="K6" s="183"/>
      <c r="L6" s="183">
        <v>5.0</v>
      </c>
      <c r="M6" s="221">
        <v>5.0</v>
      </c>
      <c r="N6" s="10" t="s">
        <v>1451</v>
      </c>
      <c r="O6" s="10" t="s">
        <v>81</v>
      </c>
      <c r="P6" s="10"/>
      <c r="Q6" s="10"/>
      <c r="R6" s="10"/>
      <c r="S6" s="10"/>
      <c r="T6" s="10"/>
      <c r="U6" s="192" t="s">
        <v>157</v>
      </c>
      <c r="V6" s="192" t="s">
        <v>157</v>
      </c>
      <c r="W6" s="184"/>
      <c r="X6" s="15"/>
      <c r="Y6" s="16" t="s">
        <v>1475</v>
      </c>
      <c r="Z6" s="15"/>
    </row>
    <row r="7">
      <c r="A7" s="29" t="str">
        <f>HYPERLINK("https://www.microchip.com/wwwproducts/en/ATtiny85","ATtiny85")</f>
        <v>ATtiny85</v>
      </c>
      <c r="B7" s="10" t="s">
        <v>1476</v>
      </c>
      <c r="C7" s="10" t="s">
        <v>1477</v>
      </c>
      <c r="D7" s="10" t="s">
        <v>1469</v>
      </c>
      <c r="E7" s="10" t="s">
        <v>1478</v>
      </c>
      <c r="F7" s="220">
        <v>16.0</v>
      </c>
      <c r="G7" s="10" t="s">
        <v>1470</v>
      </c>
      <c r="H7" s="10" t="s">
        <v>1479</v>
      </c>
      <c r="I7" s="10" t="s">
        <v>157</v>
      </c>
      <c r="J7" s="10">
        <v>6.0</v>
      </c>
      <c r="K7" s="183"/>
      <c r="L7" s="183">
        <v>5.0</v>
      </c>
      <c r="M7" s="221">
        <v>5.0</v>
      </c>
      <c r="N7" s="10" t="s">
        <v>157</v>
      </c>
      <c r="O7" s="10" t="s">
        <v>81</v>
      </c>
      <c r="P7" s="10"/>
      <c r="Q7" s="10"/>
      <c r="R7" s="10"/>
      <c r="S7" s="10"/>
      <c r="T7" s="10"/>
      <c r="U7" s="192" t="s">
        <v>157</v>
      </c>
      <c r="V7" s="192" t="s">
        <v>157</v>
      </c>
      <c r="W7" s="184">
        <v>1.0</v>
      </c>
      <c r="X7" s="15"/>
      <c r="Y7" s="16" t="s">
        <v>1480</v>
      </c>
      <c r="Z7" s="15"/>
    </row>
    <row r="8">
      <c r="A8" s="29" t="s">
        <v>1237</v>
      </c>
      <c r="B8" s="23" t="s">
        <v>1481</v>
      </c>
      <c r="C8" s="9" t="s">
        <v>1482</v>
      </c>
      <c r="D8" s="9" t="s">
        <v>1483</v>
      </c>
      <c r="E8" s="9" t="s">
        <v>1484</v>
      </c>
      <c r="F8" s="222">
        <v>1000.0</v>
      </c>
      <c r="G8" s="9" t="s">
        <v>1485</v>
      </c>
      <c r="H8" s="9" t="s">
        <v>1486</v>
      </c>
      <c r="I8" s="9" t="s">
        <v>81</v>
      </c>
      <c r="J8" s="9">
        <v>40.0</v>
      </c>
      <c r="K8" s="183">
        <v>5.0</v>
      </c>
      <c r="L8" s="183">
        <v>5.0</v>
      </c>
      <c r="M8" s="221">
        <v>3.3</v>
      </c>
      <c r="N8" s="9" t="s">
        <v>1451</v>
      </c>
      <c r="O8" s="9" t="s">
        <v>81</v>
      </c>
      <c r="P8" s="9" t="s">
        <v>396</v>
      </c>
      <c r="Q8" s="9"/>
      <c r="R8" s="9" t="s">
        <v>396</v>
      </c>
      <c r="S8" s="10"/>
      <c r="T8" s="9" t="s">
        <v>1485</v>
      </c>
      <c r="U8" s="192" t="s">
        <v>1461</v>
      </c>
      <c r="V8" s="192" t="s">
        <v>157</v>
      </c>
      <c r="W8" s="192">
        <v>25.0</v>
      </c>
      <c r="X8" s="9">
        <v>2017.0</v>
      </c>
      <c r="Y8" s="30" t="s">
        <v>1487</v>
      </c>
      <c r="Z8" s="15"/>
    </row>
    <row r="9">
      <c r="A9" s="29" t="s">
        <v>1488</v>
      </c>
      <c r="B9" s="23" t="s">
        <v>1481</v>
      </c>
      <c r="C9" s="9" t="s">
        <v>1482</v>
      </c>
      <c r="D9" s="9" t="s">
        <v>1483</v>
      </c>
      <c r="E9" s="9" t="s">
        <v>1484</v>
      </c>
      <c r="F9" s="222">
        <v>1000.0</v>
      </c>
      <c r="G9" s="9" t="s">
        <v>1489</v>
      </c>
      <c r="H9" s="9" t="s">
        <v>1486</v>
      </c>
      <c r="I9" s="9" t="s">
        <v>81</v>
      </c>
      <c r="J9" s="9">
        <v>48.0</v>
      </c>
      <c r="K9" s="183">
        <v>5.0</v>
      </c>
      <c r="L9" s="183">
        <v>5.0</v>
      </c>
      <c r="M9" s="221">
        <v>3.3</v>
      </c>
      <c r="N9" s="9" t="s">
        <v>1490</v>
      </c>
      <c r="O9" s="9" t="s">
        <v>81</v>
      </c>
      <c r="P9" s="9" t="s">
        <v>396</v>
      </c>
      <c r="Q9" s="10"/>
      <c r="R9" s="10" t="s">
        <v>1491</v>
      </c>
      <c r="S9" s="10"/>
      <c r="T9" s="9" t="s">
        <v>1485</v>
      </c>
      <c r="U9" s="192" t="s">
        <v>157</v>
      </c>
      <c r="V9" s="192" t="s">
        <v>157</v>
      </c>
      <c r="W9" s="192">
        <v>50.0</v>
      </c>
      <c r="X9" s="9">
        <v>2012.0</v>
      </c>
      <c r="Y9" s="30" t="s">
        <v>1492</v>
      </c>
      <c r="Z9" s="15"/>
    </row>
    <row r="10">
      <c r="A10" s="111" t="s">
        <v>1493</v>
      </c>
      <c r="B10" s="9" t="s">
        <v>1494</v>
      </c>
      <c r="C10" s="9" t="s">
        <v>1455</v>
      </c>
      <c r="D10" s="10" t="s">
        <v>1456</v>
      </c>
      <c r="E10" s="10" t="s">
        <v>1457</v>
      </c>
      <c r="F10" s="222"/>
      <c r="G10" s="9"/>
      <c r="H10" s="9"/>
      <c r="I10" s="10"/>
      <c r="J10" s="15"/>
      <c r="K10" s="183"/>
      <c r="L10" s="183"/>
      <c r="M10" s="221"/>
      <c r="N10" s="9"/>
      <c r="O10" s="10"/>
      <c r="P10" s="9"/>
      <c r="Q10" s="10"/>
      <c r="R10" s="10"/>
      <c r="S10" s="9" t="s">
        <v>1460</v>
      </c>
      <c r="T10" s="10"/>
      <c r="U10" s="192"/>
      <c r="V10" s="192"/>
      <c r="W10" s="192">
        <v>10.0</v>
      </c>
      <c r="X10" s="9">
        <v>2021.0</v>
      </c>
      <c r="Y10" s="30" t="s">
        <v>1495</v>
      </c>
      <c r="Z10" s="15"/>
    </row>
    <row r="11">
      <c r="A11" s="5" t="s">
        <v>1496</v>
      </c>
      <c r="B11" s="20" t="s">
        <v>1497</v>
      </c>
      <c r="C11" s="9" t="s">
        <v>1498</v>
      </c>
      <c r="D11" s="9" t="s">
        <v>1499</v>
      </c>
      <c r="E11" s="9" t="s">
        <v>1500</v>
      </c>
      <c r="F11" s="222"/>
      <c r="G11" s="9" t="s">
        <v>1485</v>
      </c>
      <c r="H11" s="9"/>
      <c r="I11" s="10"/>
      <c r="J11" s="9"/>
      <c r="K11" s="183"/>
      <c r="L11" s="183"/>
      <c r="M11" s="223"/>
      <c r="N11" s="9"/>
      <c r="O11" s="9"/>
      <c r="P11" s="9" t="s">
        <v>1465</v>
      </c>
      <c r="Q11" s="9" t="s">
        <v>433</v>
      </c>
      <c r="R11" s="9" t="s">
        <v>1491</v>
      </c>
      <c r="S11" s="9">
        <v>4.1</v>
      </c>
      <c r="T11" s="9"/>
      <c r="U11" s="192"/>
      <c r="V11" s="192"/>
      <c r="W11" s="192">
        <v>15.0</v>
      </c>
      <c r="X11" s="9">
        <v>2024.0</v>
      </c>
      <c r="Y11" s="30" t="s">
        <v>1501</v>
      </c>
      <c r="Z11" s="30" t="s">
        <v>1502</v>
      </c>
    </row>
    <row r="12">
      <c r="A12" s="29" t="s">
        <v>1503</v>
      </c>
      <c r="B12" s="23" t="s">
        <v>1497</v>
      </c>
      <c r="C12" s="9" t="s">
        <v>1362</v>
      </c>
      <c r="D12" s="13" t="s">
        <v>1499</v>
      </c>
      <c r="E12" s="9" t="s">
        <v>1500</v>
      </c>
      <c r="F12" s="222"/>
      <c r="G12" s="9"/>
      <c r="H12" s="9"/>
      <c r="I12" s="10" t="s">
        <v>157</v>
      </c>
      <c r="J12" s="9"/>
      <c r="K12" s="183"/>
      <c r="L12" s="183"/>
      <c r="M12" s="223">
        <v>3.3</v>
      </c>
      <c r="N12" s="9" t="s">
        <v>1459</v>
      </c>
      <c r="O12" s="9"/>
      <c r="P12" s="9" t="s">
        <v>1465</v>
      </c>
      <c r="Q12" s="10" t="s">
        <v>433</v>
      </c>
      <c r="R12" s="10" t="s">
        <v>1491</v>
      </c>
      <c r="S12" s="224" t="s">
        <v>1504</v>
      </c>
      <c r="T12" s="9"/>
      <c r="U12" s="192"/>
      <c r="V12" s="192"/>
      <c r="W12" s="192">
        <v>16.0</v>
      </c>
      <c r="X12" s="9">
        <v>2020.0</v>
      </c>
      <c r="Y12" s="30" t="s">
        <v>1505</v>
      </c>
      <c r="Z12" s="15"/>
    </row>
    <row r="13">
      <c r="A13" s="29" t="s">
        <v>1506</v>
      </c>
      <c r="B13" s="10" t="s">
        <v>1507</v>
      </c>
      <c r="C13" s="10" t="s">
        <v>1300</v>
      </c>
      <c r="D13" s="10" t="s">
        <v>1508</v>
      </c>
      <c r="E13" s="9" t="s">
        <v>1500</v>
      </c>
      <c r="F13" s="220"/>
      <c r="G13" s="10"/>
      <c r="H13" s="10"/>
      <c r="I13" s="10" t="s">
        <v>157</v>
      </c>
      <c r="J13" s="10"/>
      <c r="K13" s="183"/>
      <c r="L13" s="183"/>
      <c r="M13" s="221">
        <v>3.3</v>
      </c>
      <c r="N13" s="10" t="s">
        <v>157</v>
      </c>
      <c r="O13" s="10" t="s">
        <v>81</v>
      </c>
      <c r="P13" s="9" t="s">
        <v>1465</v>
      </c>
      <c r="Q13" s="10"/>
      <c r="R13" s="10"/>
      <c r="S13" s="224" t="s">
        <v>1509</v>
      </c>
      <c r="T13" s="10"/>
      <c r="U13" s="192" t="s">
        <v>157</v>
      </c>
      <c r="V13" s="192" t="s">
        <v>157</v>
      </c>
      <c r="W13" s="184"/>
      <c r="X13" s="15"/>
      <c r="Y13" s="16" t="s">
        <v>1510</v>
      </c>
      <c r="Z13" s="15"/>
    </row>
    <row r="14">
      <c r="A14" s="29" t="s">
        <v>1511</v>
      </c>
      <c r="B14" s="10" t="s">
        <v>1507</v>
      </c>
      <c r="C14" s="10" t="s">
        <v>1362</v>
      </c>
      <c r="D14" s="16" t="s">
        <v>1499</v>
      </c>
      <c r="E14" s="9" t="s">
        <v>1500</v>
      </c>
      <c r="F14" s="220"/>
      <c r="G14" s="10"/>
      <c r="H14" s="10"/>
      <c r="I14" s="10" t="s">
        <v>157</v>
      </c>
      <c r="J14" s="10"/>
      <c r="K14" s="183"/>
      <c r="L14" s="183"/>
      <c r="M14" s="221">
        <v>3.3</v>
      </c>
      <c r="N14" s="9" t="s">
        <v>1459</v>
      </c>
      <c r="O14" s="10" t="s">
        <v>81</v>
      </c>
      <c r="P14" s="9" t="s">
        <v>1465</v>
      </c>
      <c r="Q14" s="10"/>
      <c r="R14" s="10"/>
      <c r="S14" s="224" t="s">
        <v>1509</v>
      </c>
      <c r="T14" s="10"/>
      <c r="U14" s="192" t="s">
        <v>157</v>
      </c>
      <c r="V14" s="192" t="s">
        <v>157</v>
      </c>
      <c r="W14" s="184"/>
      <c r="X14" s="10">
        <v>2016.0</v>
      </c>
      <c r="Y14" s="16" t="s">
        <v>1512</v>
      </c>
      <c r="Z14" s="15"/>
    </row>
    <row r="15">
      <c r="A15" s="29" t="s">
        <v>1513</v>
      </c>
      <c r="B15" s="23" t="s">
        <v>1514</v>
      </c>
      <c r="C15" s="9" t="s">
        <v>1362</v>
      </c>
      <c r="D15" s="16" t="s">
        <v>1499</v>
      </c>
      <c r="E15" s="9" t="s">
        <v>1500</v>
      </c>
      <c r="F15" s="222"/>
      <c r="G15" s="9"/>
      <c r="H15" s="9"/>
      <c r="I15" s="10" t="s">
        <v>157</v>
      </c>
      <c r="J15" s="9"/>
      <c r="K15" s="183"/>
      <c r="L15" s="183"/>
      <c r="M15" s="223">
        <v>3.3</v>
      </c>
      <c r="N15" s="9" t="s">
        <v>1459</v>
      </c>
      <c r="O15" s="9"/>
      <c r="P15" s="9" t="s">
        <v>1465</v>
      </c>
      <c r="Q15" s="9" t="s">
        <v>433</v>
      </c>
      <c r="R15" s="9" t="s">
        <v>1491</v>
      </c>
      <c r="S15" s="224" t="s">
        <v>1504</v>
      </c>
      <c r="T15" s="9"/>
      <c r="U15" s="192" t="s">
        <v>1461</v>
      </c>
      <c r="V15" s="192" t="s">
        <v>157</v>
      </c>
      <c r="W15" s="192">
        <v>25.0</v>
      </c>
      <c r="X15" s="9">
        <v>2020.0</v>
      </c>
      <c r="Y15" s="23" t="s">
        <v>1515</v>
      </c>
      <c r="Z15" s="15"/>
    </row>
    <row r="16">
      <c r="A16" s="29" t="str">
        <f>HYPERLINK("https://www.pjrc.com/teensy/teensyLC.html","Teensy-LC")</f>
        <v>Teensy-LC</v>
      </c>
      <c r="B16" s="10" t="s">
        <v>1266</v>
      </c>
      <c r="C16" s="10" t="s">
        <v>1516</v>
      </c>
      <c r="D16" s="10" t="s">
        <v>1517</v>
      </c>
      <c r="E16" s="10" t="s">
        <v>1448</v>
      </c>
      <c r="F16" s="220">
        <v>48.0</v>
      </c>
      <c r="G16" s="10" t="s">
        <v>1518</v>
      </c>
      <c r="H16" s="10" t="s">
        <v>1470</v>
      </c>
      <c r="I16" s="10" t="s">
        <v>157</v>
      </c>
      <c r="J16" s="15"/>
      <c r="K16" s="183"/>
      <c r="L16" s="183">
        <v>5.0</v>
      </c>
      <c r="M16" s="221">
        <v>3.3</v>
      </c>
      <c r="N16" s="10" t="s">
        <v>1451</v>
      </c>
      <c r="O16" s="10" t="s">
        <v>81</v>
      </c>
      <c r="P16" s="10" t="s">
        <v>157</v>
      </c>
      <c r="Q16" s="10"/>
      <c r="R16" s="10"/>
      <c r="S16" s="10"/>
      <c r="T16" s="10" t="s">
        <v>1519</v>
      </c>
      <c r="U16" s="192" t="s">
        <v>157</v>
      </c>
      <c r="V16" s="192" t="s">
        <v>157</v>
      </c>
      <c r="W16" s="184">
        <v>11.65</v>
      </c>
      <c r="X16" s="15"/>
      <c r="Y16" s="16" t="s">
        <v>1520</v>
      </c>
      <c r="Z16" s="15"/>
    </row>
    <row r="17">
      <c r="A17" s="29" t="str">
        <f>HYPERLINK("https://www.pjrc.com/store/teensy.html","Teensy 2.0")</f>
        <v>Teensy 2.0</v>
      </c>
      <c r="B17" s="10" t="s">
        <v>1266</v>
      </c>
      <c r="C17" s="10" t="s">
        <v>1472</v>
      </c>
      <c r="D17" s="10" t="s">
        <v>1469</v>
      </c>
      <c r="E17" s="10" t="s">
        <v>1473</v>
      </c>
      <c r="F17" s="220">
        <v>16.0</v>
      </c>
      <c r="G17" s="10" t="s">
        <v>1521</v>
      </c>
      <c r="H17" s="10" t="s">
        <v>1474</v>
      </c>
      <c r="I17" s="10" t="s">
        <v>157</v>
      </c>
      <c r="J17" s="10"/>
      <c r="K17" s="183"/>
      <c r="L17" s="183">
        <v>5.0</v>
      </c>
      <c r="M17" s="221">
        <v>5.0</v>
      </c>
      <c r="N17" s="10" t="s">
        <v>1451</v>
      </c>
      <c r="O17" s="10" t="s">
        <v>81</v>
      </c>
      <c r="P17" s="10"/>
      <c r="Q17" s="10"/>
      <c r="R17" s="10"/>
      <c r="S17" s="10"/>
      <c r="T17" s="10" t="s">
        <v>1519</v>
      </c>
      <c r="U17" s="192" t="s">
        <v>157</v>
      </c>
      <c r="V17" s="192" t="s">
        <v>157</v>
      </c>
      <c r="W17" s="184">
        <v>16.0</v>
      </c>
      <c r="X17" s="15"/>
      <c r="Y17" s="16" t="s">
        <v>1522</v>
      </c>
      <c r="Z17" s="15"/>
    </row>
    <row r="18">
      <c r="A18" s="29" t="str">
        <f>HYPERLINK("https://www.pjrc.com/store/teensy32.html","Teensy 3.2")</f>
        <v>Teensy 3.2</v>
      </c>
      <c r="B18" s="10" t="s">
        <v>1266</v>
      </c>
      <c r="C18" s="10" t="s">
        <v>1523</v>
      </c>
      <c r="D18" s="10" t="s">
        <v>1456</v>
      </c>
      <c r="E18" s="10" t="s">
        <v>1457</v>
      </c>
      <c r="F18" s="220">
        <v>72.0</v>
      </c>
      <c r="G18" s="10" t="s">
        <v>1449</v>
      </c>
      <c r="H18" s="10" t="s">
        <v>1524</v>
      </c>
      <c r="I18" s="10" t="s">
        <v>157</v>
      </c>
      <c r="J18" s="10">
        <v>8.0</v>
      </c>
      <c r="K18" s="183"/>
      <c r="L18" s="183">
        <v>5.0</v>
      </c>
      <c r="M18" s="221">
        <v>3.3</v>
      </c>
      <c r="N18" s="10" t="s">
        <v>1451</v>
      </c>
      <c r="O18" s="10" t="s">
        <v>81</v>
      </c>
      <c r="P18" s="10" t="s">
        <v>1519</v>
      </c>
      <c r="Q18" s="10"/>
      <c r="R18" s="10"/>
      <c r="S18" s="10"/>
      <c r="T18" s="10" t="s">
        <v>1519</v>
      </c>
      <c r="U18" s="192" t="s">
        <v>157</v>
      </c>
      <c r="V18" s="192" t="s">
        <v>157</v>
      </c>
      <c r="W18" s="184">
        <v>19.8</v>
      </c>
      <c r="X18" s="15"/>
      <c r="Y18" s="16" t="s">
        <v>1525</v>
      </c>
      <c r="Z18" s="15"/>
    </row>
    <row r="19">
      <c r="A19" s="29" t="str">
        <f>HYPERLINK("https://www.pjrc.com/store/teensy40.html","Teensy 4.0")</f>
        <v>Teensy 4.0</v>
      </c>
      <c r="B19" s="10" t="s">
        <v>1266</v>
      </c>
      <c r="C19" s="10" t="s">
        <v>1526</v>
      </c>
      <c r="D19" s="10" t="s">
        <v>1527</v>
      </c>
      <c r="E19" s="10" t="s">
        <v>1457</v>
      </c>
      <c r="F19" s="220">
        <v>600.0</v>
      </c>
      <c r="G19" s="10" t="s">
        <v>1528</v>
      </c>
      <c r="H19" s="10" t="s">
        <v>1529</v>
      </c>
      <c r="I19" s="10" t="s">
        <v>157</v>
      </c>
      <c r="J19" s="10"/>
      <c r="K19" s="10"/>
      <c r="L19" s="183">
        <v>5.0</v>
      </c>
      <c r="M19" s="223">
        <v>3.3</v>
      </c>
      <c r="N19" s="10" t="s">
        <v>1451</v>
      </c>
      <c r="O19" s="10" t="s">
        <v>81</v>
      </c>
      <c r="P19" s="10"/>
      <c r="Q19" s="15"/>
      <c r="R19" s="15"/>
      <c r="S19" s="15"/>
      <c r="T19" s="10"/>
      <c r="U19" s="192" t="s">
        <v>157</v>
      </c>
      <c r="V19" s="192" t="s">
        <v>157</v>
      </c>
      <c r="W19" s="184">
        <v>19.95</v>
      </c>
      <c r="X19" s="10">
        <v>2019.0</v>
      </c>
      <c r="Y19" s="16" t="s">
        <v>1530</v>
      </c>
      <c r="Z19" s="15"/>
    </row>
    <row r="20">
      <c r="A20" s="29" t="str">
        <f>HYPERLINK("https://www.pjrc.com/store/teensypp.html","Teensy++ 2.0")</f>
        <v>Teensy++ 2.0</v>
      </c>
      <c r="B20" s="10" t="s">
        <v>1266</v>
      </c>
      <c r="C20" s="10" t="s">
        <v>1531</v>
      </c>
      <c r="D20" s="10" t="s">
        <v>1469</v>
      </c>
      <c r="E20" s="10" t="s">
        <v>1473</v>
      </c>
      <c r="F20" s="220">
        <v>16.0</v>
      </c>
      <c r="G20" s="10" t="s">
        <v>1532</v>
      </c>
      <c r="H20" s="10" t="s">
        <v>1470</v>
      </c>
      <c r="I20" s="10" t="s">
        <v>157</v>
      </c>
      <c r="J20" s="15"/>
      <c r="K20" s="183"/>
      <c r="L20" s="183">
        <v>5.0</v>
      </c>
      <c r="M20" s="221">
        <v>5.0</v>
      </c>
      <c r="N20" s="10" t="s">
        <v>1451</v>
      </c>
      <c r="O20" s="10" t="s">
        <v>81</v>
      </c>
      <c r="P20" s="10"/>
      <c r="Q20" s="10"/>
      <c r="R20" s="10"/>
      <c r="S20" s="10"/>
      <c r="T20" s="10" t="s">
        <v>1519</v>
      </c>
      <c r="U20" s="192" t="s">
        <v>157</v>
      </c>
      <c r="V20" s="192" t="s">
        <v>157</v>
      </c>
      <c r="W20" s="184"/>
      <c r="X20" s="15"/>
      <c r="Y20" s="16" t="s">
        <v>1533</v>
      </c>
      <c r="Z20" s="15"/>
    </row>
    <row r="21">
      <c r="A21" s="29" t="str">
        <f>HYPERLINK("https://www.pjrc.com/store/teensy35.html","Teensy 3.5")</f>
        <v>Teensy 3.5</v>
      </c>
      <c r="B21" s="10" t="s">
        <v>1266</v>
      </c>
      <c r="C21" s="10" t="s">
        <v>1534</v>
      </c>
      <c r="D21" s="10" t="s">
        <v>1456</v>
      </c>
      <c r="E21" s="10" t="s">
        <v>1457</v>
      </c>
      <c r="F21" s="220">
        <v>120.0</v>
      </c>
      <c r="G21" s="10" t="s">
        <v>1535</v>
      </c>
      <c r="H21" s="10" t="s">
        <v>1449</v>
      </c>
      <c r="I21" s="10" t="s">
        <v>157</v>
      </c>
      <c r="J21" s="10"/>
      <c r="K21" s="10"/>
      <c r="L21" s="183">
        <v>5.0</v>
      </c>
      <c r="M21" s="221">
        <v>3.3</v>
      </c>
      <c r="N21" s="10" t="s">
        <v>1451</v>
      </c>
      <c r="O21" s="10" t="s">
        <v>81</v>
      </c>
      <c r="P21" s="10" t="s">
        <v>1519</v>
      </c>
      <c r="Q21" s="15"/>
      <c r="R21" s="15"/>
      <c r="S21" s="15"/>
      <c r="T21" s="10" t="s">
        <v>1485</v>
      </c>
      <c r="U21" s="192" t="s">
        <v>157</v>
      </c>
      <c r="V21" s="192" t="s">
        <v>157</v>
      </c>
      <c r="W21" s="184"/>
      <c r="X21" s="15"/>
      <c r="Y21" s="16" t="s">
        <v>1536</v>
      </c>
      <c r="Z21" s="15"/>
    </row>
    <row r="22">
      <c r="A22" s="29" t="str">
        <f>HYPERLINK("https://www.pjrc.com/store/teensy36.html","Teensy 3.6")</f>
        <v>Teensy 3.6</v>
      </c>
      <c r="B22" s="10" t="s">
        <v>1266</v>
      </c>
      <c r="C22" s="10" t="s">
        <v>1537</v>
      </c>
      <c r="D22" s="10" t="s">
        <v>1456</v>
      </c>
      <c r="E22" s="10" t="s">
        <v>1457</v>
      </c>
      <c r="F22" s="220">
        <v>180.0</v>
      </c>
      <c r="G22" s="10" t="s">
        <v>1529</v>
      </c>
      <c r="H22" s="10" t="s">
        <v>1449</v>
      </c>
      <c r="I22" s="10" t="s">
        <v>157</v>
      </c>
      <c r="J22" s="10"/>
      <c r="K22" s="10"/>
      <c r="L22" s="183">
        <v>5.0</v>
      </c>
      <c r="M22" s="221">
        <v>3.3</v>
      </c>
      <c r="N22" s="10" t="s">
        <v>1451</v>
      </c>
      <c r="O22" s="10" t="s">
        <v>81</v>
      </c>
      <c r="P22" s="10" t="s">
        <v>1519</v>
      </c>
      <c r="Q22" s="15"/>
      <c r="R22" s="15"/>
      <c r="S22" s="15"/>
      <c r="T22" s="10" t="s">
        <v>1485</v>
      </c>
      <c r="U22" s="192" t="s">
        <v>157</v>
      </c>
      <c r="V22" s="192" t="s">
        <v>157</v>
      </c>
      <c r="W22" s="184"/>
      <c r="X22" s="15"/>
      <c r="Y22" s="16" t="s">
        <v>1538</v>
      </c>
      <c r="Z22" s="15"/>
    </row>
    <row r="23">
      <c r="A23" s="29" t="str">
        <f>HYPERLINK("https://www.pjrc.com/store/teensy41.html","Teensy 4.1")</f>
        <v>Teensy 4.1</v>
      </c>
      <c r="B23" s="10" t="s">
        <v>1266</v>
      </c>
      <c r="C23" s="10" t="s">
        <v>1526</v>
      </c>
      <c r="D23" s="10" t="s">
        <v>1527</v>
      </c>
      <c r="E23" s="10" t="s">
        <v>1457</v>
      </c>
      <c r="F23" s="220">
        <v>600.0</v>
      </c>
      <c r="G23" s="9" t="s">
        <v>1539</v>
      </c>
      <c r="H23" s="10" t="s">
        <v>1529</v>
      </c>
      <c r="I23" s="9" t="s">
        <v>157</v>
      </c>
      <c r="J23" s="10"/>
      <c r="K23" s="10"/>
      <c r="L23" s="183"/>
      <c r="M23" s="221"/>
      <c r="N23" s="10"/>
      <c r="O23" s="10"/>
      <c r="P23" s="15"/>
      <c r="Q23" s="15"/>
      <c r="R23" s="15"/>
      <c r="S23" s="15"/>
      <c r="T23" s="15"/>
      <c r="U23" s="192" t="s">
        <v>157</v>
      </c>
      <c r="V23" s="192" t="s">
        <v>157</v>
      </c>
      <c r="W23" s="184"/>
      <c r="X23" s="15"/>
      <c r="Y23" s="10"/>
      <c r="Z23" s="15"/>
    </row>
    <row r="24">
      <c r="A24" s="29" t="str">
        <f>HYPERLINK("https://www.raspberrypi.org/products/raspberry-pi-zero/","Raspberry Pi Zero v1.2")</f>
        <v>Raspberry Pi Zero v1.2</v>
      </c>
      <c r="B24" s="10" t="s">
        <v>1540</v>
      </c>
      <c r="C24" s="10" t="s">
        <v>1541</v>
      </c>
      <c r="D24" s="10" t="s">
        <v>1542</v>
      </c>
      <c r="E24" s="10" t="s">
        <v>1543</v>
      </c>
      <c r="F24" s="220">
        <v>1000.0</v>
      </c>
      <c r="G24" s="10" t="s">
        <v>1485</v>
      </c>
      <c r="H24" s="10" t="s">
        <v>1486</v>
      </c>
      <c r="I24" s="10" t="s">
        <v>81</v>
      </c>
      <c r="J24" s="10">
        <v>1.0</v>
      </c>
      <c r="K24" s="183">
        <v>5.0</v>
      </c>
      <c r="L24" s="183">
        <v>5.0</v>
      </c>
      <c r="M24" s="221">
        <v>3.3</v>
      </c>
      <c r="N24" s="10" t="s">
        <v>1451</v>
      </c>
      <c r="O24" s="10" t="s">
        <v>81</v>
      </c>
      <c r="P24" s="10" t="s">
        <v>396</v>
      </c>
      <c r="Q24" s="10"/>
      <c r="R24" s="10" t="s">
        <v>396</v>
      </c>
      <c r="S24" s="10"/>
      <c r="T24" s="10" t="s">
        <v>1485</v>
      </c>
      <c r="U24" s="192" t="s">
        <v>157</v>
      </c>
      <c r="V24" s="192" t="s">
        <v>157</v>
      </c>
      <c r="W24" s="184">
        <v>5.0</v>
      </c>
      <c r="X24" s="10">
        <v>2015.0</v>
      </c>
      <c r="Y24" s="16" t="s">
        <v>1544</v>
      </c>
      <c r="Z24" s="15"/>
    </row>
    <row r="25">
      <c r="A25" s="29" t="str">
        <f>HYPERLINK("https://www.raspberrypi.org/products/raspberry-pi-zero/","Raspberry Pi Zero v1.3")</f>
        <v>Raspberry Pi Zero v1.3</v>
      </c>
      <c r="B25" s="10" t="s">
        <v>1540</v>
      </c>
      <c r="C25" s="10" t="s">
        <v>1541</v>
      </c>
      <c r="D25" s="10" t="s">
        <v>1542</v>
      </c>
      <c r="E25" s="10" t="s">
        <v>1543</v>
      </c>
      <c r="F25" s="220">
        <v>1000.0</v>
      </c>
      <c r="G25" s="10" t="s">
        <v>1485</v>
      </c>
      <c r="H25" s="10" t="s">
        <v>1486</v>
      </c>
      <c r="I25" s="10" t="s">
        <v>81</v>
      </c>
      <c r="J25" s="10">
        <v>1.0</v>
      </c>
      <c r="K25" s="183">
        <v>5.0</v>
      </c>
      <c r="L25" s="183">
        <v>5.0</v>
      </c>
      <c r="M25" s="221">
        <v>3.3</v>
      </c>
      <c r="N25" s="10" t="s">
        <v>1451</v>
      </c>
      <c r="O25" s="10" t="s">
        <v>81</v>
      </c>
      <c r="P25" s="10" t="s">
        <v>396</v>
      </c>
      <c r="Q25" s="10"/>
      <c r="R25" s="10" t="s">
        <v>396</v>
      </c>
      <c r="S25" s="10"/>
      <c r="T25" s="10" t="s">
        <v>1485</v>
      </c>
      <c r="U25" s="192" t="s">
        <v>157</v>
      </c>
      <c r="V25" s="192" t="s">
        <v>157</v>
      </c>
      <c r="W25" s="184">
        <v>5.0</v>
      </c>
      <c r="X25" s="15"/>
      <c r="Y25" s="16" t="s">
        <v>1544</v>
      </c>
      <c r="Z25" s="15"/>
    </row>
    <row r="26">
      <c r="A26" s="29" t="str">
        <f>HYPERLINK("https://www.raspberrypi.org/products/raspberry-pi-zero-w/","Raspberry Pi Zero W")</f>
        <v>Raspberry Pi Zero W</v>
      </c>
      <c r="B26" s="10" t="s">
        <v>1540</v>
      </c>
      <c r="C26" s="10" t="s">
        <v>1541</v>
      </c>
      <c r="D26" s="10" t="s">
        <v>1542</v>
      </c>
      <c r="E26" s="10" t="s">
        <v>1543</v>
      </c>
      <c r="F26" s="220">
        <v>1000.0</v>
      </c>
      <c r="G26" s="10" t="s">
        <v>1485</v>
      </c>
      <c r="H26" s="10" t="s">
        <v>1486</v>
      </c>
      <c r="I26" s="10" t="s">
        <v>81</v>
      </c>
      <c r="J26" s="10">
        <v>1.0</v>
      </c>
      <c r="K26" s="183">
        <v>5.0</v>
      </c>
      <c r="L26" s="183">
        <v>5.0</v>
      </c>
      <c r="M26" s="221">
        <v>3.3</v>
      </c>
      <c r="N26" s="10" t="s">
        <v>1451</v>
      </c>
      <c r="O26" s="10" t="s">
        <v>81</v>
      </c>
      <c r="P26" s="10" t="s">
        <v>1465</v>
      </c>
      <c r="Q26" s="10"/>
      <c r="R26" s="10" t="s">
        <v>396</v>
      </c>
      <c r="S26" s="225" t="s">
        <v>1509</v>
      </c>
      <c r="T26" s="10" t="s">
        <v>1485</v>
      </c>
      <c r="U26" s="192" t="s">
        <v>157</v>
      </c>
      <c r="V26" s="192" t="s">
        <v>157</v>
      </c>
      <c r="W26" s="184">
        <v>10.0</v>
      </c>
      <c r="X26" s="10">
        <v>2017.0</v>
      </c>
      <c r="Y26" s="16" t="s">
        <v>1545</v>
      </c>
      <c r="Z26" s="15"/>
    </row>
    <row r="27">
      <c r="A27" s="29" t="str">
        <f>HYPERLINK("https://www.raspberrypi.org/products/raspberry-pi-1-model-a-plus/","Raspberry Pi 1 Model A+")</f>
        <v>Raspberry Pi 1 Model A+</v>
      </c>
      <c r="B27" s="10" t="s">
        <v>1540</v>
      </c>
      <c r="C27" s="10" t="s">
        <v>1541</v>
      </c>
      <c r="D27" s="10" t="s">
        <v>1542</v>
      </c>
      <c r="E27" s="10" t="s">
        <v>1543</v>
      </c>
      <c r="F27" s="220">
        <v>700.0</v>
      </c>
      <c r="G27" s="10" t="s">
        <v>1485</v>
      </c>
      <c r="H27" s="10" t="s">
        <v>1486</v>
      </c>
      <c r="I27" s="10" t="s">
        <v>81</v>
      </c>
      <c r="J27" s="10">
        <v>1.0</v>
      </c>
      <c r="K27" s="183">
        <v>5.0</v>
      </c>
      <c r="L27" s="183">
        <v>5.0</v>
      </c>
      <c r="M27" s="221">
        <v>3.3</v>
      </c>
      <c r="N27" s="10" t="s">
        <v>1451</v>
      </c>
      <c r="O27" s="10" t="s">
        <v>81</v>
      </c>
      <c r="P27" s="10" t="s">
        <v>396</v>
      </c>
      <c r="Q27" s="10"/>
      <c r="R27" s="10" t="s">
        <v>396</v>
      </c>
      <c r="S27" s="10" t="s">
        <v>396</v>
      </c>
      <c r="T27" s="10" t="s">
        <v>1485</v>
      </c>
      <c r="U27" s="192" t="s">
        <v>157</v>
      </c>
      <c r="V27" s="192" t="s">
        <v>157</v>
      </c>
      <c r="W27" s="184">
        <v>20.0</v>
      </c>
      <c r="X27" s="10">
        <v>2014.0</v>
      </c>
      <c r="Y27" s="16" t="s">
        <v>1546</v>
      </c>
      <c r="Z27" s="15"/>
    </row>
    <row r="28">
      <c r="A28" s="29" t="str">
        <f>HYPERLINK("https://www.raspberrypi.org/products/raspberry-pi-1-model-b-plus/","Raspberry Pi 1 Model B+")</f>
        <v>Raspberry Pi 1 Model B+</v>
      </c>
      <c r="B28" s="10" t="s">
        <v>1540</v>
      </c>
      <c r="C28" s="10" t="s">
        <v>1541</v>
      </c>
      <c r="D28" s="10" t="s">
        <v>1542</v>
      </c>
      <c r="E28" s="10" t="s">
        <v>1543</v>
      </c>
      <c r="F28" s="220">
        <v>700.0</v>
      </c>
      <c r="G28" s="10" t="s">
        <v>1485</v>
      </c>
      <c r="H28" s="10" t="s">
        <v>1486</v>
      </c>
      <c r="I28" s="10" t="s">
        <v>81</v>
      </c>
      <c r="J28" s="10">
        <v>1.0</v>
      </c>
      <c r="K28" s="183">
        <v>5.0</v>
      </c>
      <c r="L28" s="183">
        <v>5.0</v>
      </c>
      <c r="M28" s="221">
        <v>3.3</v>
      </c>
      <c r="N28" s="10" t="s">
        <v>1547</v>
      </c>
      <c r="O28" s="10" t="s">
        <v>81</v>
      </c>
      <c r="P28" s="10" t="s">
        <v>396</v>
      </c>
      <c r="Q28" s="10"/>
      <c r="R28" s="10" t="s">
        <v>1491</v>
      </c>
      <c r="S28" s="10" t="s">
        <v>396</v>
      </c>
      <c r="T28" s="10" t="s">
        <v>1485</v>
      </c>
      <c r="U28" s="192" t="s">
        <v>157</v>
      </c>
      <c r="V28" s="192" t="s">
        <v>157</v>
      </c>
      <c r="W28" s="184">
        <v>25.0</v>
      </c>
      <c r="X28" s="10">
        <v>2014.0</v>
      </c>
      <c r="Y28" s="16" t="s">
        <v>1548</v>
      </c>
      <c r="Z28" s="15"/>
    </row>
    <row r="29">
      <c r="A29" s="29" t="str">
        <f>HYPERLINK("https://www.raspberrypi.org/products/raspberry-pi-3-model-a-plus/","Raspberry Pi 3 Model A+")</f>
        <v>Raspberry Pi 3 Model A+</v>
      </c>
      <c r="B29" s="10" t="s">
        <v>1540</v>
      </c>
      <c r="C29" s="10" t="s">
        <v>1549</v>
      </c>
      <c r="D29" s="10" t="s">
        <v>1550</v>
      </c>
      <c r="E29" s="10" t="s">
        <v>1551</v>
      </c>
      <c r="F29" s="220">
        <v>1400.0</v>
      </c>
      <c r="G29" s="10" t="s">
        <v>1485</v>
      </c>
      <c r="H29" s="10" t="s">
        <v>1486</v>
      </c>
      <c r="I29" s="10" t="s">
        <v>81</v>
      </c>
      <c r="J29" s="10">
        <v>1.0</v>
      </c>
      <c r="K29" s="183">
        <v>5.0</v>
      </c>
      <c r="L29" s="183">
        <v>5.0</v>
      </c>
      <c r="M29" s="221">
        <v>3.3</v>
      </c>
      <c r="N29" s="10" t="s">
        <v>1451</v>
      </c>
      <c r="O29" s="10" t="s">
        <v>81</v>
      </c>
      <c r="P29" s="9" t="s">
        <v>1552</v>
      </c>
      <c r="Q29" s="10"/>
      <c r="R29" s="10" t="s">
        <v>396</v>
      </c>
      <c r="S29" s="225" t="s">
        <v>1504</v>
      </c>
      <c r="T29" s="10" t="s">
        <v>1485</v>
      </c>
      <c r="U29" s="192" t="s">
        <v>157</v>
      </c>
      <c r="V29" s="192" t="s">
        <v>157</v>
      </c>
      <c r="W29" s="184">
        <v>25.0</v>
      </c>
      <c r="X29" s="10">
        <v>2018.0</v>
      </c>
      <c r="Y29" s="16" t="s">
        <v>1553</v>
      </c>
      <c r="Z29" s="15"/>
    </row>
    <row r="30">
      <c r="A30" s="29" t="str">
        <f>HYPERLINK("https://www.raspberrypi.org/products/raspberry-pi-2-model-b/","Raspberry Pi 2 Model B")</f>
        <v>Raspberry Pi 2 Model B</v>
      </c>
      <c r="B30" s="10" t="s">
        <v>1540</v>
      </c>
      <c r="C30" s="10" t="s">
        <v>1554</v>
      </c>
      <c r="D30" s="10" t="s">
        <v>1555</v>
      </c>
      <c r="E30" s="10" t="s">
        <v>1556</v>
      </c>
      <c r="F30" s="220">
        <v>900.0</v>
      </c>
      <c r="G30" s="10" t="s">
        <v>1485</v>
      </c>
      <c r="H30" s="10" t="s">
        <v>1557</v>
      </c>
      <c r="I30" s="10" t="s">
        <v>81</v>
      </c>
      <c r="J30" s="10">
        <v>1.0</v>
      </c>
      <c r="K30" s="183">
        <v>5.0</v>
      </c>
      <c r="L30" s="183">
        <v>5.0</v>
      </c>
      <c r="M30" s="221">
        <v>3.3</v>
      </c>
      <c r="N30" s="10" t="s">
        <v>1547</v>
      </c>
      <c r="O30" s="10" t="s">
        <v>81</v>
      </c>
      <c r="P30" s="10" t="s">
        <v>396</v>
      </c>
      <c r="Q30" s="10"/>
      <c r="R30" s="10" t="s">
        <v>1491</v>
      </c>
      <c r="S30" s="10" t="s">
        <v>396</v>
      </c>
      <c r="T30" s="10" t="s">
        <v>1485</v>
      </c>
      <c r="U30" s="192" t="s">
        <v>157</v>
      </c>
      <c r="V30" s="192" t="s">
        <v>157</v>
      </c>
      <c r="W30" s="184">
        <v>35.0</v>
      </c>
      <c r="X30" s="10">
        <v>2015.0</v>
      </c>
      <c r="Y30" s="16" t="s">
        <v>1558</v>
      </c>
      <c r="Z30" s="15"/>
    </row>
    <row r="31">
      <c r="A31" s="29" t="str">
        <f>HYPERLINK("https://www.raspberrypi.org/products/raspberry-pi-2-model-b/","Raspberry Pi 2 Model B v1.2")</f>
        <v>Raspberry Pi 2 Model B v1.2</v>
      </c>
      <c r="B31" s="10" t="s">
        <v>1540</v>
      </c>
      <c r="C31" s="10" t="s">
        <v>1559</v>
      </c>
      <c r="D31" s="10" t="s">
        <v>1550</v>
      </c>
      <c r="E31" s="10" t="s">
        <v>1560</v>
      </c>
      <c r="F31" s="220">
        <v>900.0</v>
      </c>
      <c r="G31" s="10" t="s">
        <v>1485</v>
      </c>
      <c r="H31" s="10" t="s">
        <v>1557</v>
      </c>
      <c r="I31" s="10" t="s">
        <v>81</v>
      </c>
      <c r="J31" s="10">
        <v>1.0</v>
      </c>
      <c r="K31" s="183">
        <v>5.0</v>
      </c>
      <c r="L31" s="183">
        <v>5.0</v>
      </c>
      <c r="M31" s="221">
        <v>3.3</v>
      </c>
      <c r="N31" s="10" t="s">
        <v>1547</v>
      </c>
      <c r="O31" s="10" t="s">
        <v>81</v>
      </c>
      <c r="P31" s="10" t="s">
        <v>396</v>
      </c>
      <c r="Q31" s="10"/>
      <c r="R31" s="10" t="s">
        <v>1491</v>
      </c>
      <c r="S31" s="10" t="s">
        <v>396</v>
      </c>
      <c r="T31" s="10" t="s">
        <v>1485</v>
      </c>
      <c r="U31" s="192" t="s">
        <v>157</v>
      </c>
      <c r="V31" s="192" t="s">
        <v>157</v>
      </c>
      <c r="W31" s="184">
        <v>35.0</v>
      </c>
      <c r="X31" s="15"/>
      <c r="Y31" s="16" t="s">
        <v>1558</v>
      </c>
      <c r="Z31" s="15"/>
    </row>
    <row r="32">
      <c r="A32" s="29" t="str">
        <f>HYPERLINK("https://www.raspberrypi.org/products/raspberry-pi-3-model-b/","Raspberry Pi 3 Model B")</f>
        <v>Raspberry Pi 3 Model B</v>
      </c>
      <c r="B32" s="10" t="s">
        <v>1540</v>
      </c>
      <c r="C32" s="10" t="s">
        <v>1559</v>
      </c>
      <c r="D32" s="10" t="s">
        <v>1550</v>
      </c>
      <c r="E32" s="10" t="s">
        <v>1560</v>
      </c>
      <c r="F32" s="220">
        <v>1200.0</v>
      </c>
      <c r="G32" s="10" t="s">
        <v>1485</v>
      </c>
      <c r="H32" s="10" t="s">
        <v>1557</v>
      </c>
      <c r="I32" s="10" t="s">
        <v>81</v>
      </c>
      <c r="J32" s="10">
        <v>1.0</v>
      </c>
      <c r="K32" s="183">
        <v>5.0</v>
      </c>
      <c r="L32" s="183">
        <v>5.0</v>
      </c>
      <c r="M32" s="221">
        <v>3.3</v>
      </c>
      <c r="N32" s="10" t="s">
        <v>1547</v>
      </c>
      <c r="O32" s="10" t="s">
        <v>81</v>
      </c>
      <c r="P32" s="10" t="s">
        <v>1465</v>
      </c>
      <c r="Q32" s="10"/>
      <c r="R32" s="10" t="s">
        <v>1491</v>
      </c>
      <c r="S32" s="225" t="s">
        <v>1561</v>
      </c>
      <c r="T32" s="10" t="s">
        <v>1485</v>
      </c>
      <c r="U32" s="192" t="s">
        <v>157</v>
      </c>
      <c r="V32" s="192" t="s">
        <v>157</v>
      </c>
      <c r="W32" s="184">
        <v>35.0</v>
      </c>
      <c r="X32" s="10">
        <v>2016.0</v>
      </c>
      <c r="Y32" s="16" t="s">
        <v>1562</v>
      </c>
      <c r="Z32" s="15"/>
    </row>
    <row r="33">
      <c r="A33" s="29" t="str">
        <f>HYPERLINK("https://www.raspberrypi.org/products/raspberry-pi-4-model-b/","Raspberry Pi 4 Model B")</f>
        <v>Raspberry Pi 4 Model B</v>
      </c>
      <c r="B33" s="10" t="s">
        <v>1540</v>
      </c>
      <c r="C33" s="10" t="s">
        <v>1563</v>
      </c>
      <c r="D33" s="10" t="s">
        <v>1564</v>
      </c>
      <c r="E33" s="10" t="s">
        <v>1560</v>
      </c>
      <c r="F33" s="220">
        <v>1500.0</v>
      </c>
      <c r="G33" s="10" t="s">
        <v>1485</v>
      </c>
      <c r="H33" s="10" t="s">
        <v>1565</v>
      </c>
      <c r="I33" s="10" t="s">
        <v>81</v>
      </c>
      <c r="J33" s="15"/>
      <c r="K33" s="183">
        <v>5.0</v>
      </c>
      <c r="L33" s="183">
        <v>5.0</v>
      </c>
      <c r="M33" s="221">
        <v>3.3</v>
      </c>
      <c r="N33" s="10" t="s">
        <v>1566</v>
      </c>
      <c r="O33" s="10" t="s">
        <v>81</v>
      </c>
      <c r="P33" s="9" t="s">
        <v>1552</v>
      </c>
      <c r="Q33" s="10"/>
      <c r="R33" s="10" t="s">
        <v>1567</v>
      </c>
      <c r="S33" s="225" t="s">
        <v>1568</v>
      </c>
      <c r="T33" s="10" t="s">
        <v>1485</v>
      </c>
      <c r="U33" s="192" t="s">
        <v>157</v>
      </c>
      <c r="V33" s="192" t="s">
        <v>157</v>
      </c>
      <c r="W33" s="184">
        <v>35.0</v>
      </c>
      <c r="X33" s="10">
        <v>2019.0</v>
      </c>
      <c r="Y33" s="16" t="s">
        <v>1569</v>
      </c>
      <c r="Z33" s="15"/>
    </row>
    <row r="34">
      <c r="A34" s="29" t="str">
        <f>HYPERLINK("https://www.raspberrypi.org/products/raspberry-pi-3-model-b-plus/","Raspberry Pi 3 Model B+")</f>
        <v>Raspberry Pi 3 Model B+</v>
      </c>
      <c r="B34" s="10" t="s">
        <v>1540</v>
      </c>
      <c r="C34" s="10" t="s">
        <v>1549</v>
      </c>
      <c r="D34" s="10" t="s">
        <v>1550</v>
      </c>
      <c r="E34" s="10" t="s">
        <v>1560</v>
      </c>
      <c r="F34" s="220">
        <v>1400.0</v>
      </c>
      <c r="G34" s="10" t="s">
        <v>1485</v>
      </c>
      <c r="H34" s="10" t="s">
        <v>1557</v>
      </c>
      <c r="I34" s="10" t="s">
        <v>81</v>
      </c>
      <c r="J34" s="10">
        <v>1.0</v>
      </c>
      <c r="K34" s="183">
        <v>5.0</v>
      </c>
      <c r="L34" s="183">
        <v>5.0</v>
      </c>
      <c r="M34" s="221">
        <v>3.3</v>
      </c>
      <c r="N34" s="10" t="s">
        <v>1547</v>
      </c>
      <c r="O34" s="10" t="s">
        <v>81</v>
      </c>
      <c r="P34" s="9" t="s">
        <v>1552</v>
      </c>
      <c r="Q34" s="10"/>
      <c r="R34" s="10" t="s">
        <v>1567</v>
      </c>
      <c r="S34" s="225" t="s">
        <v>1504</v>
      </c>
      <c r="T34" s="10" t="s">
        <v>1485</v>
      </c>
      <c r="U34" s="192" t="s">
        <v>157</v>
      </c>
      <c r="V34" s="192" t="s">
        <v>157</v>
      </c>
      <c r="W34" s="184"/>
      <c r="X34" s="10">
        <v>2018.0</v>
      </c>
      <c r="Y34" s="16" t="s">
        <v>1570</v>
      </c>
      <c r="Z34" s="15"/>
    </row>
    <row r="35">
      <c r="A35" s="29" t="s">
        <v>1571</v>
      </c>
      <c r="B35" s="23" t="s">
        <v>1572</v>
      </c>
      <c r="C35" s="9" t="s">
        <v>1362</v>
      </c>
      <c r="D35" s="16" t="s">
        <v>1499</v>
      </c>
      <c r="E35" s="9" t="s">
        <v>1500</v>
      </c>
      <c r="F35" s="222"/>
      <c r="G35" s="10" t="s">
        <v>1573</v>
      </c>
      <c r="H35" s="9"/>
      <c r="I35" s="9"/>
      <c r="J35" s="9"/>
      <c r="K35" s="183"/>
      <c r="L35" s="183"/>
      <c r="M35" s="223">
        <v>3.3</v>
      </c>
      <c r="N35" s="9" t="s">
        <v>157</v>
      </c>
      <c r="O35" s="9"/>
      <c r="P35" s="9" t="s">
        <v>1465</v>
      </c>
      <c r="Q35" s="226" t="s">
        <v>1574</v>
      </c>
      <c r="R35" s="226" t="s">
        <v>1491</v>
      </c>
      <c r="S35" s="224" t="s">
        <v>1504</v>
      </c>
      <c r="T35" s="9"/>
      <c r="U35" s="192"/>
      <c r="V35" s="192"/>
      <c r="W35" s="192">
        <v>7.0</v>
      </c>
      <c r="X35" s="9">
        <v>2019.0</v>
      </c>
      <c r="Y35" s="23" t="s">
        <v>1575</v>
      </c>
      <c r="Z35" s="15"/>
    </row>
    <row r="36">
      <c r="A36" s="29" t="str">
        <f>HYPERLINK("https://www.aliexpress.com/item/4000049660873.html","Orange Pi LTS")</f>
        <v>Orange Pi LTS</v>
      </c>
      <c r="B36" s="10" t="s">
        <v>1576</v>
      </c>
      <c r="C36" s="10" t="s">
        <v>1577</v>
      </c>
      <c r="D36" s="10" t="s">
        <v>1555</v>
      </c>
      <c r="E36" s="10" t="s">
        <v>1556</v>
      </c>
      <c r="F36" s="220">
        <v>1200.0</v>
      </c>
      <c r="G36" s="10" t="s">
        <v>1485</v>
      </c>
      <c r="H36" s="10" t="s">
        <v>1578</v>
      </c>
      <c r="I36" s="10" t="s">
        <v>81</v>
      </c>
      <c r="J36" s="15"/>
      <c r="K36" s="183"/>
      <c r="L36" s="183"/>
      <c r="M36" s="221"/>
      <c r="N36" s="10" t="s">
        <v>1579</v>
      </c>
      <c r="O36" s="15"/>
      <c r="P36" s="9" t="s">
        <v>1552</v>
      </c>
      <c r="Q36" s="10"/>
      <c r="R36" s="10" t="s">
        <v>1491</v>
      </c>
      <c r="S36" s="15"/>
      <c r="T36" s="10" t="s">
        <v>1485</v>
      </c>
      <c r="U36" s="184"/>
      <c r="V36" s="184"/>
      <c r="W36" s="184">
        <v>8.5</v>
      </c>
      <c r="X36" s="15"/>
      <c r="Y36" s="16" t="s">
        <v>1580</v>
      </c>
      <c r="Z36" s="15"/>
    </row>
    <row r="37">
      <c r="A37" s="29" t="str">
        <f>HYPERLINK("http://www.orangepi.org/","Orange Pi PC Plus")</f>
        <v>Orange Pi PC Plus</v>
      </c>
      <c r="B37" s="10" t="s">
        <v>1576</v>
      </c>
      <c r="C37" s="10" t="s">
        <v>1581</v>
      </c>
      <c r="D37" s="10" t="s">
        <v>1555</v>
      </c>
      <c r="E37" s="10" t="s">
        <v>1556</v>
      </c>
      <c r="F37" s="220">
        <v>1600.0</v>
      </c>
      <c r="G37" s="10" t="s">
        <v>1485</v>
      </c>
      <c r="H37" s="10" t="s">
        <v>1557</v>
      </c>
      <c r="I37" s="10" t="s">
        <v>81</v>
      </c>
      <c r="J37" s="15"/>
      <c r="K37" s="183"/>
      <c r="L37" s="183"/>
      <c r="M37" s="221"/>
      <c r="N37" s="10" t="s">
        <v>1582</v>
      </c>
      <c r="O37" s="15"/>
      <c r="P37" s="9" t="s">
        <v>1552</v>
      </c>
      <c r="Q37" s="10"/>
      <c r="R37" s="10" t="s">
        <v>1491</v>
      </c>
      <c r="S37" s="15"/>
      <c r="T37" s="10" t="s">
        <v>1485</v>
      </c>
      <c r="U37" s="192" t="s">
        <v>157</v>
      </c>
      <c r="V37" s="192" t="s">
        <v>157</v>
      </c>
      <c r="W37" s="184">
        <v>23.99</v>
      </c>
      <c r="X37" s="15"/>
      <c r="Y37" s="16" t="s">
        <v>1583</v>
      </c>
      <c r="Z37" s="15"/>
    </row>
    <row r="38">
      <c r="A38" s="29" t="s">
        <v>1584</v>
      </c>
      <c r="B38" s="10"/>
      <c r="C38" s="10" t="s">
        <v>1300</v>
      </c>
      <c r="D38" s="10" t="s">
        <v>1508</v>
      </c>
      <c r="E38" s="9" t="s">
        <v>1500</v>
      </c>
      <c r="F38" s="220"/>
      <c r="G38" s="10"/>
      <c r="H38" s="10"/>
      <c r="I38" s="10" t="s">
        <v>157</v>
      </c>
      <c r="J38" s="10"/>
      <c r="K38" s="183"/>
      <c r="L38" s="183"/>
      <c r="M38" s="221">
        <v>3.3</v>
      </c>
      <c r="N38" s="10" t="s">
        <v>157</v>
      </c>
      <c r="O38" s="10" t="s">
        <v>81</v>
      </c>
      <c r="P38" s="9" t="s">
        <v>1465</v>
      </c>
      <c r="Q38" s="10"/>
      <c r="R38" s="10"/>
      <c r="S38" s="224" t="s">
        <v>1509</v>
      </c>
      <c r="T38" s="10"/>
      <c r="U38" s="192" t="s">
        <v>157</v>
      </c>
      <c r="V38" s="192" t="s">
        <v>157</v>
      </c>
      <c r="W38" s="184"/>
      <c r="X38" s="10">
        <v>2014.0</v>
      </c>
      <c r="Y38" s="16" t="s">
        <v>1585</v>
      </c>
      <c r="Z38" s="15"/>
    </row>
    <row r="39">
      <c r="A39" s="13" t="s">
        <v>1586</v>
      </c>
      <c r="B39" s="9" t="s">
        <v>1587</v>
      </c>
      <c r="C39" s="9" t="s">
        <v>1588</v>
      </c>
      <c r="D39" s="9"/>
      <c r="E39" s="9" t="s">
        <v>1589</v>
      </c>
      <c r="F39" s="222"/>
      <c r="G39" s="9" t="s">
        <v>1485</v>
      </c>
      <c r="H39" s="9"/>
      <c r="I39" s="10"/>
      <c r="J39" s="15"/>
      <c r="K39" s="183"/>
      <c r="L39" s="183"/>
      <c r="M39" s="221"/>
      <c r="N39" s="9"/>
      <c r="O39" s="10"/>
      <c r="P39" s="9" t="s">
        <v>1465</v>
      </c>
      <c r="Q39" s="9" t="s">
        <v>433</v>
      </c>
      <c r="R39" s="9" t="s">
        <v>1491</v>
      </c>
      <c r="S39" s="9"/>
      <c r="T39" s="9" t="s">
        <v>1485</v>
      </c>
      <c r="U39" s="192"/>
      <c r="V39" s="192"/>
      <c r="W39" s="192">
        <v>17.0</v>
      </c>
      <c r="X39" s="9">
        <v>2024.0</v>
      </c>
      <c r="Y39" s="13" t="s">
        <v>1590</v>
      </c>
      <c r="Z39" s="9" t="s">
        <v>1591</v>
      </c>
    </row>
    <row r="40">
      <c r="A40" s="20"/>
      <c r="B40" s="9"/>
      <c r="C40" s="9"/>
      <c r="D40" s="9"/>
      <c r="E40" s="10"/>
      <c r="F40" s="222"/>
      <c r="G40" s="9"/>
      <c r="H40" s="9"/>
      <c r="I40" s="10"/>
      <c r="J40" s="15"/>
      <c r="K40" s="183"/>
      <c r="L40" s="183"/>
      <c r="M40" s="221"/>
      <c r="N40" s="9"/>
      <c r="O40" s="10"/>
      <c r="P40" s="9"/>
      <c r="Q40" s="10"/>
      <c r="R40" s="10"/>
      <c r="S40" s="9"/>
      <c r="T40" s="10"/>
      <c r="U40" s="192"/>
      <c r="V40" s="192"/>
      <c r="W40" s="192"/>
      <c r="X40" s="9"/>
      <c r="Y40" s="9"/>
      <c r="Z40" s="15"/>
    </row>
  </sheetData>
  <dataValidations>
    <dataValidation type="decimal" operator="greaterThan" allowBlank="1" showDropDown="1" showInputMessage="1" prompt="Enter a number greater than 0" sqref="J2:M40">
      <formula1>0.0</formula1>
    </dataValidation>
    <dataValidation type="decimal" operator="greaterThan" allowBlank="1" showDropDown="1" showInputMessage="1" prompt="Enter a positive number of USD" sqref="W2 W6:W7 W16:W23">
      <formula1>0.0</formula1>
    </dataValidation>
  </dataValidations>
  <hyperlinks>
    <hyperlink r:id="rId4" ref="Y2"/>
    <hyperlink r:id="rId5" ref="A3"/>
    <hyperlink r:id="rId6" ref="Y3"/>
    <hyperlink r:id="rId7" ref="Y4"/>
    <hyperlink r:id="rId8" ref="A5"/>
    <hyperlink r:id="rId9" ref="Y5"/>
    <hyperlink r:id="rId10" ref="Y6"/>
    <hyperlink r:id="rId11" ref="Y7"/>
    <hyperlink r:id="rId12" ref="A8"/>
    <hyperlink r:id="rId13" ref="B8"/>
    <hyperlink r:id="rId14" ref="Y8"/>
    <hyperlink r:id="rId15" ref="A9"/>
    <hyperlink r:id="rId16" ref="B9"/>
    <hyperlink r:id="rId17" ref="Y9"/>
    <hyperlink r:id="rId18" ref="Y10"/>
    <hyperlink r:id="rId19" ref="A11"/>
    <hyperlink r:id="rId20" ref="Y11"/>
    <hyperlink r:id="rId21" ref="Z11"/>
    <hyperlink r:id="rId22" ref="A12"/>
    <hyperlink r:id="rId23" ref="B12"/>
    <hyperlink r:id="rId24" ref="D12"/>
    <hyperlink r:id="rId25" ref="Y12"/>
    <hyperlink r:id="rId26" ref="A13"/>
    <hyperlink r:id="rId27" ref="Y13"/>
    <hyperlink r:id="rId28" ref="A14"/>
    <hyperlink r:id="rId29" ref="D14"/>
    <hyperlink r:id="rId30" ref="Y14"/>
    <hyperlink r:id="rId31" ref="A15"/>
    <hyperlink r:id="rId32" ref="B15"/>
    <hyperlink r:id="rId33" ref="D15"/>
    <hyperlink r:id="rId34" ref="Y15"/>
    <hyperlink r:id="rId35" ref="Y16"/>
    <hyperlink r:id="rId36" ref="Y17"/>
    <hyperlink r:id="rId37" ref="Y18"/>
    <hyperlink r:id="rId38" ref="Y19"/>
    <hyperlink r:id="rId39" ref="Y20"/>
    <hyperlink r:id="rId40" ref="Y21"/>
    <hyperlink r:id="rId41" ref="Y22"/>
    <hyperlink r:id="rId42" ref="Y24"/>
    <hyperlink r:id="rId43" ref="Y25"/>
    <hyperlink r:id="rId44" ref="Y26"/>
    <hyperlink r:id="rId45" ref="Y27"/>
    <hyperlink r:id="rId46" ref="Y28"/>
    <hyperlink r:id="rId47" ref="Y29"/>
    <hyperlink r:id="rId48" ref="Y30"/>
    <hyperlink r:id="rId49" ref="Y31"/>
    <hyperlink r:id="rId50" ref="Y32"/>
    <hyperlink r:id="rId51" ref="Y33"/>
    <hyperlink r:id="rId52" ref="Y34"/>
    <hyperlink r:id="rId53" ref="A35"/>
    <hyperlink r:id="rId54" ref="B35"/>
    <hyperlink r:id="rId55" ref="D35"/>
    <hyperlink r:id="rId56" ref="Y35"/>
    <hyperlink r:id="rId57" ref="Y36"/>
    <hyperlink r:id="rId58" ref="Y37"/>
    <hyperlink r:id="rId59" ref="A38"/>
    <hyperlink r:id="rId60" ref="Y38"/>
    <hyperlink r:id="rId61" ref="A39"/>
    <hyperlink r:id="rId62" ref="Y39"/>
  </hyperlinks>
  <drawing r:id="rId63"/>
  <legacyDrawing r:id="rId64"/>
  <tableParts count="1">
    <tablePart r:id="rId6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75"/>
    <col customWidth="1" min="2" max="2" width="17.13"/>
    <col customWidth="1" min="3" max="3" width="48.25"/>
    <col customWidth="1" min="4" max="4" width="13.5"/>
    <col customWidth="1" min="7" max="7" width="13.0"/>
    <col customWidth="1" min="17" max="17" width="15.63"/>
    <col customWidth="1" min="21" max="21" width="11.0"/>
    <col customWidth="1" min="22" max="22" width="10.25"/>
    <col customWidth="1" min="23" max="23" width="11.38"/>
    <col customWidth="1" min="24" max="24" width="7.75"/>
    <col customWidth="1" min="25" max="25" width="9.25"/>
    <col customWidth="1" min="26" max="26" width="5.75"/>
    <col customWidth="1" min="27" max="27" width="7.75"/>
    <col customWidth="1" min="28" max="28" width="8.38"/>
    <col customWidth="1" min="30" max="30" width="8.88"/>
    <col customWidth="1" min="31" max="31" width="8.25"/>
    <col customWidth="1" min="32" max="32" width="148.13"/>
  </cols>
  <sheetData>
    <row r="1" ht="17.25" customHeight="1">
      <c r="A1" s="9" t="s">
        <v>1592</v>
      </c>
      <c r="B1" s="9" t="s">
        <v>345</v>
      </c>
      <c r="C1" s="9" t="s">
        <v>1593</v>
      </c>
      <c r="D1" s="9" t="s">
        <v>1594</v>
      </c>
      <c r="E1" s="9" t="s">
        <v>353</v>
      </c>
      <c r="F1" s="9" t="s">
        <v>352</v>
      </c>
      <c r="G1" s="13" t="s">
        <v>1595</v>
      </c>
      <c r="H1" s="9" t="s">
        <v>1596</v>
      </c>
      <c r="I1" s="9" t="s">
        <v>1597</v>
      </c>
      <c r="J1" s="9" t="s">
        <v>1598</v>
      </c>
      <c r="K1" s="9" t="s">
        <v>1599</v>
      </c>
      <c r="L1" s="9" t="s">
        <v>1600</v>
      </c>
      <c r="M1" s="9" t="s">
        <v>1601</v>
      </c>
      <c r="N1" s="9" t="s">
        <v>1602</v>
      </c>
      <c r="O1" s="9" t="s">
        <v>1603</v>
      </c>
      <c r="P1" s="9" t="s">
        <v>1604</v>
      </c>
      <c r="Q1" s="210" t="s">
        <v>1605</v>
      </c>
      <c r="R1" s="9" t="s">
        <v>1606</v>
      </c>
      <c r="S1" s="9" t="s">
        <v>1607</v>
      </c>
      <c r="T1" s="9" t="s">
        <v>1608</v>
      </c>
      <c r="U1" s="9" t="s">
        <v>1609</v>
      </c>
      <c r="V1" s="9" t="s">
        <v>1610</v>
      </c>
      <c r="W1" s="9" t="s">
        <v>1611</v>
      </c>
      <c r="X1" s="9" t="s">
        <v>1612</v>
      </c>
      <c r="Y1" s="9" t="s">
        <v>1613</v>
      </c>
      <c r="Z1" s="9" t="s">
        <v>373</v>
      </c>
      <c r="AA1" s="9" t="s">
        <v>1614</v>
      </c>
      <c r="AB1" s="9" t="s">
        <v>1615</v>
      </c>
      <c r="AC1" s="9" t="s">
        <v>1616</v>
      </c>
      <c r="AD1" s="9" t="s">
        <v>1617</v>
      </c>
      <c r="AE1" s="9" t="s">
        <v>1618</v>
      </c>
      <c r="AF1" s="9" t="s">
        <v>48</v>
      </c>
    </row>
    <row r="2">
      <c r="A2" s="5" t="s">
        <v>1619</v>
      </c>
      <c r="B2" s="29" t="s">
        <v>1620</v>
      </c>
      <c r="C2" s="13" t="s">
        <v>1621</v>
      </c>
      <c r="D2" s="9" t="s">
        <v>1622</v>
      </c>
      <c r="E2" s="227">
        <v>1.0</v>
      </c>
      <c r="F2" s="228">
        <v>50.0</v>
      </c>
      <c r="G2" s="9" t="s">
        <v>157</v>
      </c>
      <c r="H2" s="9" t="s">
        <v>1623</v>
      </c>
      <c r="I2" s="9" t="s">
        <v>157</v>
      </c>
      <c r="J2" s="9" t="s">
        <v>81</v>
      </c>
      <c r="K2" s="9" t="s">
        <v>1624</v>
      </c>
      <c r="L2" s="229">
        <v>28.0</v>
      </c>
      <c r="M2" s="229">
        <v>24.0</v>
      </c>
      <c r="N2" s="230" t="s">
        <v>1625</v>
      </c>
      <c r="O2" s="9" t="s">
        <v>1626</v>
      </c>
      <c r="P2" s="9" t="s">
        <v>81</v>
      </c>
      <c r="Q2" s="9"/>
      <c r="R2" s="9" t="s">
        <v>81</v>
      </c>
      <c r="S2" s="9" t="s">
        <v>157</v>
      </c>
      <c r="T2" s="9" t="s">
        <v>157</v>
      </c>
      <c r="U2" s="9" t="s">
        <v>81</v>
      </c>
      <c r="V2" s="9">
        <v>1.0</v>
      </c>
      <c r="W2" s="9">
        <v>12.0</v>
      </c>
      <c r="X2" s="9">
        <v>1.0</v>
      </c>
      <c r="Y2" s="9"/>
      <c r="Z2" s="15"/>
      <c r="AA2" s="15"/>
      <c r="AB2" s="15"/>
      <c r="AC2" s="9" t="s">
        <v>1627</v>
      </c>
      <c r="AD2" s="9"/>
      <c r="AE2" s="9"/>
      <c r="AF2" s="9" t="s">
        <v>1628</v>
      </c>
    </row>
    <row r="3">
      <c r="A3" s="108" t="s">
        <v>1629</v>
      </c>
      <c r="B3" s="111" t="s">
        <v>650</v>
      </c>
      <c r="C3" s="23" t="s">
        <v>1630</v>
      </c>
      <c r="D3" s="9" t="s">
        <v>1622</v>
      </c>
      <c r="E3" s="227">
        <v>1.0</v>
      </c>
      <c r="F3" s="228">
        <v>50.0</v>
      </c>
      <c r="G3" s="9" t="s">
        <v>157</v>
      </c>
      <c r="H3" s="9" t="s">
        <v>1631</v>
      </c>
      <c r="I3" s="9" t="s">
        <v>157</v>
      </c>
      <c r="J3" s="9" t="s">
        <v>81</v>
      </c>
      <c r="K3" s="9" t="s">
        <v>102</v>
      </c>
      <c r="L3" s="229">
        <v>30.0</v>
      </c>
      <c r="M3" s="229">
        <v>28.0</v>
      </c>
      <c r="N3" s="230">
        <v>1.0</v>
      </c>
      <c r="O3" s="9" t="s">
        <v>1626</v>
      </c>
      <c r="P3" s="9" t="s">
        <v>81</v>
      </c>
      <c r="Q3" s="9"/>
      <c r="R3" s="9" t="s">
        <v>81</v>
      </c>
      <c r="S3" s="9" t="s">
        <v>157</v>
      </c>
      <c r="T3" s="9" t="s">
        <v>157</v>
      </c>
      <c r="U3" s="9" t="s">
        <v>81</v>
      </c>
      <c r="V3" s="9">
        <v>2.0</v>
      </c>
      <c r="W3" s="9">
        <v>25.0</v>
      </c>
      <c r="X3" s="9">
        <v>2.0</v>
      </c>
      <c r="Y3" s="15"/>
      <c r="Z3" s="15"/>
      <c r="AA3" s="15"/>
      <c r="AB3" s="15"/>
      <c r="AC3" s="9"/>
      <c r="AD3" s="9"/>
      <c r="AE3" s="9"/>
      <c r="AF3" s="9"/>
    </row>
    <row r="4">
      <c r="A4" s="29" t="s">
        <v>1632</v>
      </c>
      <c r="B4" s="111" t="s">
        <v>1213</v>
      </c>
      <c r="C4" s="23" t="s">
        <v>1633</v>
      </c>
      <c r="D4" s="9" t="s">
        <v>1634</v>
      </c>
      <c r="E4" s="227">
        <v>2.0</v>
      </c>
      <c r="F4" s="228">
        <v>30.0</v>
      </c>
      <c r="G4" s="9" t="s">
        <v>1635</v>
      </c>
      <c r="H4" s="9" t="s">
        <v>1623</v>
      </c>
      <c r="I4" s="9" t="s">
        <v>81</v>
      </c>
      <c r="J4" s="9" t="s">
        <v>81</v>
      </c>
      <c r="K4" s="9" t="s">
        <v>1624</v>
      </c>
      <c r="L4" s="229">
        <v>24.0</v>
      </c>
      <c r="M4" s="229">
        <v>18.0</v>
      </c>
      <c r="N4" s="230"/>
      <c r="O4" s="9" t="s">
        <v>1626</v>
      </c>
      <c r="P4" s="9" t="s">
        <v>81</v>
      </c>
      <c r="Q4" s="9"/>
      <c r="R4" s="9" t="s">
        <v>81</v>
      </c>
      <c r="S4" s="9" t="s">
        <v>81</v>
      </c>
      <c r="T4" s="9" t="s">
        <v>157</v>
      </c>
      <c r="U4" s="9" t="s">
        <v>81</v>
      </c>
      <c r="V4" s="9">
        <v>2.0</v>
      </c>
      <c r="W4" s="9">
        <v>2.0</v>
      </c>
      <c r="X4" s="9"/>
      <c r="Y4" s="9"/>
      <c r="Z4" s="15"/>
      <c r="AA4" s="224" t="s">
        <v>1636</v>
      </c>
      <c r="AB4" s="9" t="s">
        <v>1637</v>
      </c>
      <c r="AC4" s="9"/>
      <c r="AD4" s="9"/>
      <c r="AE4" s="23" t="s">
        <v>1633</v>
      </c>
      <c r="AF4" s="9" t="s">
        <v>1638</v>
      </c>
    </row>
    <row r="5">
      <c r="A5" s="29" t="s">
        <v>1639</v>
      </c>
      <c r="B5" s="111" t="s">
        <v>650</v>
      </c>
      <c r="C5" s="13" t="s">
        <v>1640</v>
      </c>
      <c r="D5" s="9" t="s">
        <v>1622</v>
      </c>
      <c r="E5" s="227">
        <v>2.0</v>
      </c>
      <c r="F5" s="228">
        <v>100.0</v>
      </c>
      <c r="G5" s="9" t="s">
        <v>157</v>
      </c>
      <c r="H5" s="9" t="s">
        <v>1641</v>
      </c>
      <c r="I5" s="9" t="s">
        <v>157</v>
      </c>
      <c r="J5" s="9" t="s">
        <v>157</v>
      </c>
      <c r="K5" s="9" t="s">
        <v>102</v>
      </c>
      <c r="L5" s="229">
        <v>24.0</v>
      </c>
      <c r="M5" s="229">
        <v>24.0</v>
      </c>
      <c r="N5" s="230">
        <v>2.0</v>
      </c>
      <c r="O5" s="9" t="s">
        <v>1626</v>
      </c>
      <c r="P5" s="9" t="s">
        <v>81</v>
      </c>
      <c r="Q5" s="9"/>
      <c r="R5" s="9" t="s">
        <v>81</v>
      </c>
      <c r="S5" s="9" t="s">
        <v>157</v>
      </c>
      <c r="T5" s="9" t="s">
        <v>157</v>
      </c>
      <c r="U5" s="9" t="s">
        <v>81</v>
      </c>
      <c r="V5" s="9">
        <v>2.0</v>
      </c>
      <c r="W5" s="15"/>
      <c r="X5" s="9">
        <v>1.0</v>
      </c>
      <c r="Y5" s="15"/>
      <c r="Z5" s="15"/>
      <c r="AA5" s="9" t="s">
        <v>1642</v>
      </c>
      <c r="AB5" s="9"/>
      <c r="AC5" s="9" t="s">
        <v>1643</v>
      </c>
      <c r="AD5" s="9"/>
      <c r="AE5" s="9"/>
      <c r="AF5" s="9" t="s">
        <v>1644</v>
      </c>
    </row>
    <row r="6">
      <c r="A6" s="29" t="s">
        <v>1645</v>
      </c>
      <c r="B6" s="111" t="s">
        <v>1646</v>
      </c>
      <c r="C6" s="23" t="s">
        <v>1647</v>
      </c>
      <c r="D6" s="9" t="s">
        <v>1622</v>
      </c>
      <c r="E6" s="227">
        <v>2.5</v>
      </c>
      <c r="F6" s="228">
        <v>125.0</v>
      </c>
      <c r="G6" s="9" t="s">
        <v>157</v>
      </c>
      <c r="H6" s="9" t="s">
        <v>1631</v>
      </c>
      <c r="I6" s="9" t="s">
        <v>157</v>
      </c>
      <c r="J6" s="9" t="s">
        <v>81</v>
      </c>
      <c r="K6" s="9" t="s">
        <v>102</v>
      </c>
      <c r="L6" s="229">
        <v>28.0</v>
      </c>
      <c r="M6" s="229">
        <v>26.0</v>
      </c>
      <c r="N6" s="230" t="s">
        <v>1648</v>
      </c>
      <c r="O6" s="9" t="s">
        <v>1626</v>
      </c>
      <c r="P6" s="9" t="s">
        <v>81</v>
      </c>
      <c r="Q6" s="9"/>
      <c r="R6" s="9" t="s">
        <v>81</v>
      </c>
      <c r="S6" s="9" t="s">
        <v>157</v>
      </c>
      <c r="T6" s="9" t="s">
        <v>157</v>
      </c>
      <c r="U6" s="9" t="s">
        <v>81</v>
      </c>
      <c r="V6" s="9">
        <v>2.0</v>
      </c>
      <c r="W6" s="9">
        <v>15.0</v>
      </c>
      <c r="X6" s="9">
        <v>1.0</v>
      </c>
      <c r="Y6" s="15"/>
      <c r="Z6" s="15"/>
      <c r="AA6" s="15"/>
      <c r="AB6" s="15"/>
      <c r="AC6" s="9"/>
      <c r="AD6" s="9"/>
      <c r="AE6" s="9"/>
      <c r="AF6" s="9" t="s">
        <v>1649</v>
      </c>
    </row>
    <row r="7">
      <c r="A7" s="29" t="s">
        <v>1650</v>
      </c>
      <c r="B7" s="111" t="s">
        <v>650</v>
      </c>
      <c r="C7" s="23" t="s">
        <v>1651</v>
      </c>
      <c r="D7" s="9" t="s">
        <v>1622</v>
      </c>
      <c r="E7" s="227">
        <v>3.0</v>
      </c>
      <c r="F7" s="228">
        <v>250.0</v>
      </c>
      <c r="G7" s="9" t="s">
        <v>157</v>
      </c>
      <c r="H7" s="9" t="s">
        <v>1631</v>
      </c>
      <c r="I7" s="9" t="s">
        <v>157</v>
      </c>
      <c r="J7" s="9" t="s">
        <v>81</v>
      </c>
      <c r="K7" s="9" t="s">
        <v>102</v>
      </c>
      <c r="L7" s="229">
        <v>30.0</v>
      </c>
      <c r="M7" s="229">
        <v>22.0</v>
      </c>
      <c r="N7" s="230">
        <v>2.5</v>
      </c>
      <c r="O7" s="9" t="s">
        <v>1626</v>
      </c>
      <c r="P7" s="9" t="s">
        <v>81</v>
      </c>
      <c r="Q7" s="9"/>
      <c r="R7" s="9" t="s">
        <v>81</v>
      </c>
      <c r="S7" s="9" t="s">
        <v>157</v>
      </c>
      <c r="T7" s="9" t="s">
        <v>157</v>
      </c>
      <c r="U7" s="9" t="s">
        <v>81</v>
      </c>
      <c r="V7" s="9">
        <v>1.0</v>
      </c>
      <c r="W7" s="9">
        <v>20.0</v>
      </c>
      <c r="X7" s="9"/>
      <c r="Y7" s="9"/>
      <c r="Z7" s="15"/>
      <c r="AA7" s="15"/>
      <c r="AB7" s="15"/>
      <c r="AC7" s="9" t="s">
        <v>1643</v>
      </c>
      <c r="AD7" s="30" t="s">
        <v>1651</v>
      </c>
      <c r="AE7" s="9"/>
    </row>
    <row r="8">
      <c r="A8" s="29" t="s">
        <v>1652</v>
      </c>
      <c r="B8" s="111" t="s">
        <v>650</v>
      </c>
      <c r="C8" s="30" t="s">
        <v>1653</v>
      </c>
      <c r="D8" s="9" t="s">
        <v>1622</v>
      </c>
      <c r="E8" s="227">
        <v>3.0</v>
      </c>
      <c r="F8" s="228">
        <v>250.0</v>
      </c>
      <c r="G8" s="9" t="s">
        <v>157</v>
      </c>
      <c r="H8" s="9" t="s">
        <v>1631</v>
      </c>
      <c r="I8" s="9" t="s">
        <v>81</v>
      </c>
      <c r="J8" s="9" t="s">
        <v>81</v>
      </c>
      <c r="K8" s="9" t="s">
        <v>157</v>
      </c>
      <c r="L8" s="231"/>
      <c r="M8" s="231"/>
      <c r="N8" s="230" t="s">
        <v>1654</v>
      </c>
      <c r="O8" s="9" t="s">
        <v>1626</v>
      </c>
      <c r="P8" s="9" t="s">
        <v>81</v>
      </c>
      <c r="Q8" s="9"/>
      <c r="R8" s="9" t="s">
        <v>81</v>
      </c>
      <c r="S8" s="9" t="s">
        <v>157</v>
      </c>
      <c r="T8" s="9" t="s">
        <v>157</v>
      </c>
      <c r="U8" s="9" t="s">
        <v>81</v>
      </c>
      <c r="V8" s="9">
        <v>2.0</v>
      </c>
      <c r="W8" s="15"/>
      <c r="X8" s="9">
        <v>1.0</v>
      </c>
      <c r="Y8" s="15"/>
      <c r="Z8" s="15"/>
      <c r="AA8" s="9" t="s">
        <v>1655</v>
      </c>
      <c r="AB8" s="9" t="s">
        <v>1656</v>
      </c>
      <c r="AC8" s="9" t="s">
        <v>1657</v>
      </c>
      <c r="AD8" s="9"/>
      <c r="AE8" s="9"/>
      <c r="AF8" s="9" t="s">
        <v>1658</v>
      </c>
    </row>
    <row r="9">
      <c r="A9" s="5" t="s">
        <v>1659</v>
      </c>
      <c r="B9" s="1" t="s">
        <v>1660</v>
      </c>
      <c r="C9" s="13" t="s">
        <v>1661</v>
      </c>
      <c r="D9" s="9" t="s">
        <v>1622</v>
      </c>
      <c r="E9" s="227">
        <v>3.5</v>
      </c>
      <c r="F9" s="228">
        <v>30.0</v>
      </c>
      <c r="G9" s="9" t="s">
        <v>1662</v>
      </c>
      <c r="H9" s="9" t="s">
        <v>1631</v>
      </c>
      <c r="I9" s="9" t="s">
        <v>81</v>
      </c>
      <c r="J9" s="9" t="s">
        <v>81</v>
      </c>
      <c r="K9" s="9" t="s">
        <v>1624</v>
      </c>
      <c r="L9" s="229">
        <v>20.0</v>
      </c>
      <c r="M9" s="229">
        <v>26.0</v>
      </c>
      <c r="N9" s="230">
        <v>2.2</v>
      </c>
      <c r="O9" s="9" t="s">
        <v>1626</v>
      </c>
      <c r="P9" s="9" t="s">
        <v>157</v>
      </c>
      <c r="Q9" s="9"/>
      <c r="R9" s="9" t="s">
        <v>81</v>
      </c>
      <c r="S9" s="9" t="s">
        <v>157</v>
      </c>
      <c r="T9" s="9" t="s">
        <v>157</v>
      </c>
      <c r="U9" s="9" t="s">
        <v>81</v>
      </c>
      <c r="V9" s="9">
        <v>2.0</v>
      </c>
      <c r="W9" s="9">
        <v>9.0</v>
      </c>
      <c r="X9" s="9"/>
      <c r="Y9" s="15"/>
      <c r="Z9" s="15"/>
      <c r="AA9" s="15"/>
      <c r="AB9" s="15"/>
      <c r="AC9" s="9"/>
      <c r="AD9" s="9"/>
      <c r="AE9" s="9"/>
      <c r="AF9" s="22" t="s">
        <v>1663</v>
      </c>
    </row>
    <row r="10">
      <c r="A10" s="23" t="s">
        <v>1664</v>
      </c>
      <c r="B10" s="9" t="s">
        <v>1213</v>
      </c>
      <c r="C10" s="13" t="s">
        <v>1665</v>
      </c>
      <c r="D10" s="9" t="s">
        <v>1634</v>
      </c>
      <c r="E10" s="227">
        <v>4.0</v>
      </c>
      <c r="F10" s="228">
        <v>50.0</v>
      </c>
      <c r="G10" s="9" t="s">
        <v>1662</v>
      </c>
      <c r="H10" s="9" t="s">
        <v>1666</v>
      </c>
      <c r="I10" s="9" t="s">
        <v>81</v>
      </c>
      <c r="J10" s="9" t="s">
        <v>81</v>
      </c>
      <c r="K10" s="9" t="s">
        <v>1624</v>
      </c>
      <c r="L10" s="229">
        <v>22.0</v>
      </c>
      <c r="M10" s="229">
        <v>14.0</v>
      </c>
      <c r="N10" s="230"/>
      <c r="O10" s="9" t="s">
        <v>1626</v>
      </c>
      <c r="P10" s="9" t="s">
        <v>81</v>
      </c>
      <c r="Q10" s="9"/>
      <c r="R10" s="9" t="s">
        <v>81</v>
      </c>
      <c r="S10" s="9" t="s">
        <v>157</v>
      </c>
      <c r="T10" s="9" t="s">
        <v>157</v>
      </c>
      <c r="U10" s="9" t="s">
        <v>81</v>
      </c>
      <c r="V10" s="9">
        <v>3.0</v>
      </c>
      <c r="W10" s="9">
        <v>8.0</v>
      </c>
      <c r="X10" s="9" t="s">
        <v>1667</v>
      </c>
      <c r="Y10" s="9"/>
      <c r="Z10" s="15"/>
      <c r="AA10" s="15"/>
      <c r="AB10" s="15"/>
      <c r="AC10" s="9" t="s">
        <v>1668</v>
      </c>
      <c r="AD10" s="9"/>
      <c r="AE10" s="9"/>
      <c r="AF10" s="9" t="s">
        <v>1669</v>
      </c>
    </row>
    <row r="11">
      <c r="A11" s="5" t="s">
        <v>1670</v>
      </c>
      <c r="B11" s="1" t="s">
        <v>1646</v>
      </c>
      <c r="C11" s="13" t="s">
        <v>1671</v>
      </c>
      <c r="D11" s="9" t="s">
        <v>1622</v>
      </c>
      <c r="E11" s="227">
        <v>4.0</v>
      </c>
      <c r="F11" s="228">
        <v>250.0</v>
      </c>
      <c r="G11" s="9" t="s">
        <v>157</v>
      </c>
      <c r="H11" s="9" t="s">
        <v>1631</v>
      </c>
      <c r="I11" s="9" t="s">
        <v>157</v>
      </c>
      <c r="J11" s="9" t="s">
        <v>157</v>
      </c>
      <c r="K11" s="9" t="s">
        <v>1624</v>
      </c>
      <c r="L11" s="229">
        <v>30.0</v>
      </c>
      <c r="M11" s="229">
        <v>22.0</v>
      </c>
      <c r="N11" s="230" t="s">
        <v>1625</v>
      </c>
      <c r="O11" s="9" t="s">
        <v>1626</v>
      </c>
      <c r="P11" s="9" t="s">
        <v>81</v>
      </c>
      <c r="Q11" s="9"/>
      <c r="R11" s="9" t="s">
        <v>81</v>
      </c>
      <c r="S11" s="9" t="s">
        <v>157</v>
      </c>
      <c r="T11" s="9" t="s">
        <v>81</v>
      </c>
      <c r="U11" s="9" t="s">
        <v>81</v>
      </c>
      <c r="V11" s="9">
        <v>2.0</v>
      </c>
      <c r="W11" s="9">
        <v>36.0</v>
      </c>
      <c r="X11" s="9"/>
      <c r="Y11" s="15"/>
      <c r="Z11" s="15"/>
      <c r="AA11" s="15"/>
      <c r="AB11" s="9" t="s">
        <v>1672</v>
      </c>
      <c r="AC11" s="9"/>
      <c r="AD11" s="9"/>
      <c r="AE11" s="9"/>
      <c r="AF11" s="22" t="s">
        <v>1673</v>
      </c>
    </row>
    <row r="12">
      <c r="A12" s="5" t="s">
        <v>1674</v>
      </c>
      <c r="B12" s="1" t="s">
        <v>1675</v>
      </c>
      <c r="C12" s="30" t="s">
        <v>1676</v>
      </c>
      <c r="D12" s="9" t="s">
        <v>1634</v>
      </c>
      <c r="E12" s="227">
        <v>5.0</v>
      </c>
      <c r="F12" s="228">
        <v>250.0</v>
      </c>
      <c r="G12" s="9" t="s">
        <v>1677</v>
      </c>
      <c r="H12" s="9" t="s">
        <v>1631</v>
      </c>
      <c r="I12" s="9" t="s">
        <v>81</v>
      </c>
      <c r="J12" s="9" t="s">
        <v>81</v>
      </c>
      <c r="K12" s="9" t="s">
        <v>157</v>
      </c>
      <c r="L12" s="229">
        <v>28.0</v>
      </c>
      <c r="M12" s="229">
        <v>24.0</v>
      </c>
      <c r="N12" s="230"/>
      <c r="O12" s="9" t="s">
        <v>1626</v>
      </c>
      <c r="P12" s="9" t="s">
        <v>81</v>
      </c>
      <c r="Q12" s="9"/>
      <c r="R12" s="9" t="s">
        <v>157</v>
      </c>
      <c r="S12" s="9" t="s">
        <v>157</v>
      </c>
      <c r="T12" s="9" t="s">
        <v>157</v>
      </c>
      <c r="U12" s="9" t="s">
        <v>81</v>
      </c>
      <c r="V12" s="9">
        <v>3.0</v>
      </c>
      <c r="W12" s="9">
        <v>5.0</v>
      </c>
      <c r="X12" s="9"/>
      <c r="Y12" s="9"/>
      <c r="Z12" s="15"/>
      <c r="AA12" s="15"/>
      <c r="AB12" s="15"/>
      <c r="AC12" s="9"/>
      <c r="AD12" s="9"/>
      <c r="AE12" s="9"/>
      <c r="AF12" s="22" t="s">
        <v>1678</v>
      </c>
    </row>
    <row r="13">
      <c r="A13" s="29" t="s">
        <v>1679</v>
      </c>
      <c r="B13" s="111" t="s">
        <v>1213</v>
      </c>
      <c r="C13" s="23" t="s">
        <v>1680</v>
      </c>
      <c r="D13" s="9" t="s">
        <v>1634</v>
      </c>
      <c r="E13" s="227">
        <v>5.0</v>
      </c>
      <c r="F13" s="228">
        <v>50.0</v>
      </c>
      <c r="G13" s="9" t="s">
        <v>1681</v>
      </c>
      <c r="H13" s="9" t="s">
        <v>1623</v>
      </c>
      <c r="I13" s="9" t="s">
        <v>157</v>
      </c>
      <c r="J13" s="9" t="s">
        <v>81</v>
      </c>
      <c r="K13" s="9" t="s">
        <v>157</v>
      </c>
      <c r="L13" s="229">
        <v>20.0</v>
      </c>
      <c r="M13" s="229">
        <v>18.0</v>
      </c>
      <c r="N13" s="230"/>
      <c r="O13" s="9" t="s">
        <v>1626</v>
      </c>
      <c r="P13" s="9" t="s">
        <v>81</v>
      </c>
      <c r="Q13" s="9"/>
      <c r="R13" s="9" t="s">
        <v>81</v>
      </c>
      <c r="S13" s="9" t="s">
        <v>157</v>
      </c>
      <c r="T13" s="9" t="s">
        <v>157</v>
      </c>
      <c r="U13" s="9" t="s">
        <v>81</v>
      </c>
      <c r="V13" s="9">
        <v>2.0</v>
      </c>
      <c r="W13" s="9">
        <v>4.0</v>
      </c>
      <c r="X13" s="9"/>
      <c r="Y13" s="9"/>
      <c r="Z13" s="15"/>
      <c r="AA13" s="15"/>
      <c r="AB13" s="15"/>
      <c r="AC13" s="9" t="s">
        <v>1668</v>
      </c>
      <c r="AD13" s="9"/>
      <c r="AE13" s="9"/>
      <c r="AF13" s="9" t="s">
        <v>1682</v>
      </c>
    </row>
    <row r="14">
      <c r="A14" s="5" t="s">
        <v>1683</v>
      </c>
      <c r="B14" s="1" t="s">
        <v>1684</v>
      </c>
      <c r="C14" s="13" t="s">
        <v>1685</v>
      </c>
      <c r="D14" s="9" t="s">
        <v>1634</v>
      </c>
      <c r="E14" s="227">
        <v>5.0</v>
      </c>
      <c r="F14" s="228">
        <v>250.0</v>
      </c>
      <c r="G14" s="9" t="s">
        <v>1662</v>
      </c>
      <c r="H14" s="9" t="s">
        <v>1641</v>
      </c>
      <c r="I14" s="9" t="s">
        <v>81</v>
      </c>
      <c r="J14" s="9" t="s">
        <v>81</v>
      </c>
      <c r="K14" s="9" t="s">
        <v>157</v>
      </c>
      <c r="L14" s="229">
        <v>28.0</v>
      </c>
      <c r="M14" s="229">
        <v>22.0</v>
      </c>
      <c r="N14" s="230"/>
      <c r="O14" s="9" t="s">
        <v>1626</v>
      </c>
      <c r="P14" s="9" t="s">
        <v>81</v>
      </c>
      <c r="Q14" s="9" t="s">
        <v>157</v>
      </c>
      <c r="R14" s="9" t="s">
        <v>157</v>
      </c>
      <c r="S14" s="9" t="s">
        <v>157</v>
      </c>
      <c r="T14" s="9" t="s">
        <v>157</v>
      </c>
      <c r="U14" s="9" t="s">
        <v>81</v>
      </c>
      <c r="V14" s="9">
        <v>3.0</v>
      </c>
      <c r="W14" s="9">
        <v>12.0</v>
      </c>
      <c r="X14" s="9"/>
      <c r="Y14" s="15"/>
      <c r="Z14" s="15"/>
      <c r="AA14" s="15"/>
      <c r="AB14" s="9"/>
      <c r="AC14" s="9" t="s">
        <v>1686</v>
      </c>
      <c r="AD14" s="9"/>
      <c r="AE14" s="9"/>
      <c r="AF14" s="22"/>
    </row>
    <row r="15">
      <c r="A15" s="29" t="s">
        <v>1687</v>
      </c>
      <c r="B15" s="111" t="s">
        <v>1688</v>
      </c>
      <c r="C15" s="13" t="s">
        <v>1689</v>
      </c>
      <c r="D15" s="9" t="s">
        <v>1690</v>
      </c>
      <c r="E15" s="227">
        <v>5.0</v>
      </c>
      <c r="F15" s="228">
        <v>250.0</v>
      </c>
      <c r="G15" s="9" t="s">
        <v>1691</v>
      </c>
      <c r="H15" s="9" t="s">
        <v>1666</v>
      </c>
      <c r="I15" s="9" t="s">
        <v>81</v>
      </c>
      <c r="J15" s="9" t="s">
        <v>81</v>
      </c>
      <c r="K15" s="9" t="s">
        <v>157</v>
      </c>
      <c r="L15" s="229">
        <v>24.0</v>
      </c>
      <c r="M15" s="229">
        <v>20.0</v>
      </c>
      <c r="N15" s="230"/>
      <c r="O15" s="9" t="s">
        <v>1626</v>
      </c>
      <c r="P15" s="9" t="s">
        <v>81</v>
      </c>
      <c r="Q15" s="9"/>
      <c r="R15" s="9" t="s">
        <v>157</v>
      </c>
      <c r="S15" s="9" t="s">
        <v>157</v>
      </c>
      <c r="T15" s="9" t="s">
        <v>157</v>
      </c>
      <c r="U15" s="9" t="s">
        <v>81</v>
      </c>
      <c r="V15" s="9">
        <v>2.0</v>
      </c>
      <c r="W15" s="9">
        <v>9.0</v>
      </c>
      <c r="X15" s="9" t="s">
        <v>1667</v>
      </c>
      <c r="Y15" s="15"/>
      <c r="Z15" s="15"/>
      <c r="AA15" s="15"/>
      <c r="AB15" s="15"/>
      <c r="AC15" s="9" t="s">
        <v>1692</v>
      </c>
      <c r="AD15" s="9"/>
      <c r="AE15" s="9"/>
      <c r="AF15" s="9" t="s">
        <v>1693</v>
      </c>
    </row>
    <row r="16">
      <c r="A16" s="232" t="s">
        <v>1694</v>
      </c>
      <c r="B16" s="111" t="s">
        <v>1695</v>
      </c>
      <c r="C16" s="23" t="s">
        <v>1696</v>
      </c>
      <c r="D16" s="9" t="s">
        <v>1622</v>
      </c>
      <c r="E16" s="227">
        <v>5.0</v>
      </c>
      <c r="F16" s="228">
        <v>125.0</v>
      </c>
      <c r="G16" s="9" t="s">
        <v>157</v>
      </c>
      <c r="H16" s="9" t="s">
        <v>1631</v>
      </c>
      <c r="I16" s="9" t="s">
        <v>157</v>
      </c>
      <c r="J16" s="9" t="s">
        <v>81</v>
      </c>
      <c r="K16" s="9" t="s">
        <v>1697</v>
      </c>
      <c r="L16" s="229">
        <v>24.0</v>
      </c>
      <c r="M16" s="229">
        <v>22.0</v>
      </c>
      <c r="N16" s="230">
        <v>3.0</v>
      </c>
      <c r="O16" s="9" t="s">
        <v>1698</v>
      </c>
      <c r="P16" s="9" t="s">
        <v>81</v>
      </c>
      <c r="Q16" s="9"/>
      <c r="R16" s="9" t="s">
        <v>81</v>
      </c>
      <c r="S16" s="9" t="s">
        <v>81</v>
      </c>
      <c r="T16" s="9" t="s">
        <v>81</v>
      </c>
      <c r="U16" s="9" t="s">
        <v>81</v>
      </c>
      <c r="V16" s="9">
        <v>2.0</v>
      </c>
      <c r="W16" s="9">
        <v>6.0</v>
      </c>
      <c r="X16" s="9">
        <v>1.0</v>
      </c>
      <c r="Y16" s="15"/>
      <c r="Z16" s="15"/>
      <c r="AA16" s="15"/>
      <c r="AB16" s="15"/>
      <c r="AC16" s="9" t="s">
        <v>1643</v>
      </c>
      <c r="AD16" s="30" t="s">
        <v>1699</v>
      </c>
      <c r="AE16" s="9"/>
      <c r="AF16" s="15"/>
    </row>
    <row r="17">
      <c r="A17" s="5" t="s">
        <v>1700</v>
      </c>
      <c r="B17" s="1" t="s">
        <v>1701</v>
      </c>
      <c r="C17" s="30" t="s">
        <v>1702</v>
      </c>
      <c r="D17" s="9" t="s">
        <v>1634</v>
      </c>
      <c r="E17" s="227">
        <v>6.0</v>
      </c>
      <c r="F17" s="228">
        <v>250.0</v>
      </c>
      <c r="G17" s="9" t="s">
        <v>157</v>
      </c>
      <c r="H17" s="9" t="s">
        <v>1623</v>
      </c>
      <c r="I17" s="9" t="s">
        <v>81</v>
      </c>
      <c r="J17" s="9" t="s">
        <v>81</v>
      </c>
      <c r="K17" s="9" t="s">
        <v>1624</v>
      </c>
      <c r="L17" s="229">
        <v>28.0</v>
      </c>
      <c r="M17" s="229">
        <v>18.0</v>
      </c>
      <c r="N17" s="230"/>
      <c r="O17" s="9" t="s">
        <v>1626</v>
      </c>
      <c r="P17" s="9" t="s">
        <v>81</v>
      </c>
      <c r="Q17" s="9" t="s">
        <v>81</v>
      </c>
      <c r="R17" s="9" t="s">
        <v>157</v>
      </c>
      <c r="S17" s="9" t="s">
        <v>157</v>
      </c>
      <c r="T17" s="9" t="s">
        <v>157</v>
      </c>
      <c r="U17" s="9" t="s">
        <v>81</v>
      </c>
      <c r="V17" s="9">
        <v>8.0</v>
      </c>
      <c r="W17" s="9">
        <v>8.0</v>
      </c>
      <c r="X17" s="9"/>
      <c r="Y17" s="9"/>
      <c r="Z17" s="15"/>
      <c r="AA17" s="15"/>
      <c r="AB17" s="15"/>
      <c r="AC17" s="9" t="s">
        <v>1668</v>
      </c>
      <c r="AD17" s="9"/>
      <c r="AE17" s="30" t="s">
        <v>1703</v>
      </c>
      <c r="AF17" s="22" t="s">
        <v>1704</v>
      </c>
    </row>
    <row r="18">
      <c r="A18" s="108" t="s">
        <v>1705</v>
      </c>
      <c r="B18" s="111" t="s">
        <v>1213</v>
      </c>
      <c r="C18" s="23" t="s">
        <v>1706</v>
      </c>
      <c r="D18" s="9" t="s">
        <v>1634</v>
      </c>
      <c r="E18" s="227">
        <v>7.0</v>
      </c>
      <c r="F18" s="228">
        <v>100.0</v>
      </c>
      <c r="G18" s="9" t="s">
        <v>1707</v>
      </c>
      <c r="H18" s="9" t="s">
        <v>1666</v>
      </c>
      <c r="I18" s="9" t="s">
        <v>81</v>
      </c>
      <c r="J18" s="9" t="s">
        <v>81</v>
      </c>
      <c r="K18" s="9" t="s">
        <v>157</v>
      </c>
      <c r="L18" s="229">
        <v>24.0</v>
      </c>
      <c r="M18" s="229">
        <v>20.0</v>
      </c>
      <c r="N18" s="230"/>
      <c r="O18" s="9" t="s">
        <v>1626</v>
      </c>
      <c r="P18" s="9" t="s">
        <v>81</v>
      </c>
      <c r="Q18" s="9"/>
      <c r="R18" s="9" t="s">
        <v>157</v>
      </c>
      <c r="S18" s="9" t="s">
        <v>157</v>
      </c>
      <c r="T18" s="9" t="s">
        <v>157</v>
      </c>
      <c r="U18" s="9" t="s">
        <v>81</v>
      </c>
      <c r="V18" s="9">
        <v>2.0</v>
      </c>
      <c r="W18" s="9">
        <v>10.0</v>
      </c>
      <c r="X18" s="9" t="s">
        <v>1667</v>
      </c>
      <c r="Y18" s="9"/>
      <c r="Z18" s="15"/>
      <c r="AA18" s="15"/>
      <c r="AB18" s="15"/>
      <c r="AC18" s="9" t="s">
        <v>1708</v>
      </c>
      <c r="AD18" s="9"/>
      <c r="AE18" s="9"/>
      <c r="AF18" s="9" t="s">
        <v>1709</v>
      </c>
    </row>
    <row r="19">
      <c r="A19" s="29" t="s">
        <v>1710</v>
      </c>
      <c r="B19" s="1" t="s">
        <v>1711</v>
      </c>
      <c r="C19" s="30" t="s">
        <v>1712</v>
      </c>
      <c r="D19" s="9" t="s">
        <v>1634</v>
      </c>
      <c r="E19" s="227">
        <v>10.0</v>
      </c>
      <c r="F19" s="228">
        <v>50.0</v>
      </c>
      <c r="G19" s="9" t="s">
        <v>1677</v>
      </c>
      <c r="H19" s="9" t="s">
        <v>1631</v>
      </c>
      <c r="I19" s="9" t="s">
        <v>81</v>
      </c>
      <c r="J19" s="9" t="s">
        <v>81</v>
      </c>
      <c r="K19" s="9" t="s">
        <v>102</v>
      </c>
      <c r="L19" s="229">
        <v>22.0</v>
      </c>
      <c r="M19" s="229">
        <v>14.0</v>
      </c>
      <c r="N19" s="230"/>
      <c r="O19" s="9" t="s">
        <v>1626</v>
      </c>
      <c r="P19" s="9" t="s">
        <v>81</v>
      </c>
      <c r="Q19" s="9"/>
      <c r="R19" s="9" t="s">
        <v>81</v>
      </c>
      <c r="S19" s="9" t="s">
        <v>81</v>
      </c>
      <c r="T19" s="9" t="s">
        <v>157</v>
      </c>
      <c r="U19" s="9" t="s">
        <v>81</v>
      </c>
      <c r="V19" s="9">
        <v>2.0</v>
      </c>
      <c r="W19" s="9">
        <v>7.0</v>
      </c>
      <c r="X19" s="9" t="s">
        <v>1667</v>
      </c>
      <c r="Y19" s="15"/>
      <c r="Z19" s="15"/>
      <c r="AA19" s="15"/>
      <c r="AB19" s="9" t="s">
        <v>1713</v>
      </c>
      <c r="AC19" s="1" t="s">
        <v>1714</v>
      </c>
      <c r="AD19" s="9"/>
      <c r="AE19" s="9"/>
      <c r="AF19" s="9" t="s">
        <v>1715</v>
      </c>
    </row>
    <row r="20">
      <c r="A20" s="5" t="s">
        <v>1716</v>
      </c>
      <c r="B20" s="1" t="s">
        <v>1213</v>
      </c>
      <c r="C20" s="30" t="s">
        <v>1717</v>
      </c>
      <c r="D20" s="9" t="s">
        <v>1634</v>
      </c>
      <c r="E20" s="227">
        <v>10.0</v>
      </c>
      <c r="F20" s="228">
        <v>250.0</v>
      </c>
      <c r="G20" s="9" t="s">
        <v>1691</v>
      </c>
      <c r="H20" s="9" t="s">
        <v>1666</v>
      </c>
      <c r="I20" s="9" t="s">
        <v>81</v>
      </c>
      <c r="J20" s="9" t="s">
        <v>81</v>
      </c>
      <c r="K20" s="9" t="s">
        <v>157</v>
      </c>
      <c r="L20" s="229">
        <v>28.0</v>
      </c>
      <c r="M20" s="229">
        <v>14.0</v>
      </c>
      <c r="N20" s="230"/>
      <c r="O20" s="9" t="s">
        <v>1626</v>
      </c>
      <c r="P20" s="9" t="s">
        <v>157</v>
      </c>
      <c r="Q20" s="9" t="s">
        <v>81</v>
      </c>
      <c r="R20" s="9" t="s">
        <v>157</v>
      </c>
      <c r="S20" s="9" t="s">
        <v>157</v>
      </c>
      <c r="T20" s="9" t="s">
        <v>157</v>
      </c>
      <c r="U20" s="9" t="s">
        <v>157</v>
      </c>
      <c r="V20" s="9">
        <v>2.0</v>
      </c>
      <c r="W20" s="9">
        <v>7.0</v>
      </c>
      <c r="X20" s="9"/>
      <c r="Y20" s="9">
        <v>2022.0</v>
      </c>
      <c r="Z20" s="15"/>
      <c r="AA20" s="15"/>
      <c r="AB20" s="15"/>
      <c r="AC20" s="9" t="s">
        <v>1718</v>
      </c>
      <c r="AD20" s="9"/>
      <c r="AE20" s="9"/>
      <c r="AF20" s="22" t="s">
        <v>1719</v>
      </c>
    </row>
    <row r="21">
      <c r="A21" s="108" t="s">
        <v>1720</v>
      </c>
      <c r="B21" s="1" t="s">
        <v>1701</v>
      </c>
      <c r="C21" s="23" t="s">
        <v>1721</v>
      </c>
      <c r="D21" s="9" t="s">
        <v>1634</v>
      </c>
      <c r="E21" s="227">
        <v>10.0</v>
      </c>
      <c r="F21" s="228">
        <v>250.0</v>
      </c>
      <c r="G21" s="9" t="s">
        <v>1691</v>
      </c>
      <c r="H21" s="9" t="s">
        <v>1666</v>
      </c>
      <c r="I21" s="9" t="s">
        <v>81</v>
      </c>
      <c r="J21" s="9" t="s">
        <v>81</v>
      </c>
      <c r="K21" s="9" t="s">
        <v>157</v>
      </c>
      <c r="L21" s="229">
        <v>24.0</v>
      </c>
      <c r="M21" s="229">
        <v>18.0</v>
      </c>
      <c r="N21" s="230"/>
      <c r="O21" s="9" t="s">
        <v>1626</v>
      </c>
      <c r="P21" s="9" t="s">
        <v>81</v>
      </c>
      <c r="Q21" s="9"/>
      <c r="R21" s="9" t="s">
        <v>81</v>
      </c>
      <c r="S21" s="9" t="s">
        <v>157</v>
      </c>
      <c r="T21" s="9" t="s">
        <v>157</v>
      </c>
      <c r="U21" s="9" t="s">
        <v>81</v>
      </c>
      <c r="V21" s="9">
        <v>1.0</v>
      </c>
      <c r="W21" s="9">
        <v>8.0</v>
      </c>
      <c r="X21" s="9"/>
      <c r="Y21" s="9"/>
      <c r="Z21" s="15"/>
      <c r="AA21" s="15"/>
      <c r="AB21" s="15"/>
      <c r="AC21" s="9" t="s">
        <v>1692</v>
      </c>
      <c r="AD21" s="9"/>
      <c r="AE21" s="9"/>
      <c r="AF21" s="9" t="s">
        <v>1722</v>
      </c>
    </row>
    <row r="22">
      <c r="A22" s="29" t="s">
        <v>1723</v>
      </c>
      <c r="B22" s="111" t="s">
        <v>1688</v>
      </c>
      <c r="C22" s="23" t="s">
        <v>1724</v>
      </c>
      <c r="D22" s="9" t="s">
        <v>1634</v>
      </c>
      <c r="E22" s="227">
        <v>10.0</v>
      </c>
      <c r="F22" s="228">
        <v>500.0</v>
      </c>
      <c r="G22" s="9" t="s">
        <v>1691</v>
      </c>
      <c r="H22" s="9" t="s">
        <v>1666</v>
      </c>
      <c r="I22" s="9" t="s">
        <v>81</v>
      </c>
      <c r="J22" s="9" t="s">
        <v>81</v>
      </c>
      <c r="K22" s="9" t="s">
        <v>157</v>
      </c>
      <c r="L22" s="229">
        <v>22.0</v>
      </c>
      <c r="M22" s="229">
        <v>14.0</v>
      </c>
      <c r="N22" s="230"/>
      <c r="O22" s="9" t="s">
        <v>1626</v>
      </c>
      <c r="P22" s="9" t="s">
        <v>81</v>
      </c>
      <c r="Q22" s="9"/>
      <c r="R22" s="9" t="s">
        <v>81</v>
      </c>
      <c r="S22" s="9" t="s">
        <v>157</v>
      </c>
      <c r="T22" s="9" t="s">
        <v>157</v>
      </c>
      <c r="U22" s="9" t="s">
        <v>81</v>
      </c>
      <c r="V22" s="9">
        <v>2.0</v>
      </c>
      <c r="W22" s="9">
        <v>10.0</v>
      </c>
      <c r="X22" s="9" t="s">
        <v>1667</v>
      </c>
      <c r="Y22" s="15"/>
      <c r="Z22" s="15"/>
      <c r="AA22" s="15"/>
      <c r="AB22" s="15"/>
      <c r="AC22" s="9" t="s">
        <v>1725</v>
      </c>
      <c r="AD22" s="9"/>
      <c r="AE22" s="9"/>
      <c r="AF22" s="9" t="s">
        <v>1726</v>
      </c>
    </row>
    <row r="23">
      <c r="A23" s="5" t="s">
        <v>1727</v>
      </c>
      <c r="B23" s="1" t="s">
        <v>1728</v>
      </c>
      <c r="C23" s="13" t="s">
        <v>1729</v>
      </c>
      <c r="D23" s="9" t="s">
        <v>1634</v>
      </c>
      <c r="E23" s="227">
        <v>10.0</v>
      </c>
      <c r="F23" s="228">
        <v>60.0</v>
      </c>
      <c r="G23" s="9" t="s">
        <v>1691</v>
      </c>
      <c r="H23" s="9" t="s">
        <v>1631</v>
      </c>
      <c r="I23" s="9" t="s">
        <v>81</v>
      </c>
      <c r="J23" s="9" t="s">
        <v>81</v>
      </c>
      <c r="K23" s="9" t="s">
        <v>157</v>
      </c>
      <c r="L23" s="229"/>
      <c r="M23" s="229"/>
      <c r="N23" s="230"/>
      <c r="O23" s="9" t="s">
        <v>1626</v>
      </c>
      <c r="P23" s="9" t="s">
        <v>81</v>
      </c>
      <c r="Q23" s="9"/>
      <c r="R23" s="9" t="s">
        <v>157</v>
      </c>
      <c r="S23" s="9" t="s">
        <v>157</v>
      </c>
      <c r="T23" s="9" t="s">
        <v>157</v>
      </c>
      <c r="U23" s="9" t="s">
        <v>81</v>
      </c>
      <c r="V23" s="9">
        <v>2.0</v>
      </c>
      <c r="W23" s="9">
        <v>12.0</v>
      </c>
      <c r="X23" s="9"/>
      <c r="Y23" s="9"/>
      <c r="Z23" s="15"/>
      <c r="AA23" s="15"/>
      <c r="AB23" s="15"/>
      <c r="AC23" s="9"/>
      <c r="AD23" s="30" t="s">
        <v>1730</v>
      </c>
      <c r="AE23" s="9"/>
      <c r="AF23" s="22" t="s">
        <v>1731</v>
      </c>
    </row>
    <row r="24">
      <c r="A24" s="5" t="s">
        <v>1732</v>
      </c>
      <c r="B24" s="1" t="s">
        <v>650</v>
      </c>
      <c r="C24" s="13" t="s">
        <v>1733</v>
      </c>
      <c r="D24" s="9" t="s">
        <v>1622</v>
      </c>
      <c r="E24" s="227">
        <v>10.0</v>
      </c>
      <c r="F24" s="228">
        <v>250.0</v>
      </c>
      <c r="G24" s="9" t="s">
        <v>157</v>
      </c>
      <c r="H24" s="9" t="s">
        <v>1631</v>
      </c>
      <c r="I24" s="9" t="s">
        <v>157</v>
      </c>
      <c r="J24" s="9" t="s">
        <v>81</v>
      </c>
      <c r="K24" s="9" t="s">
        <v>1624</v>
      </c>
      <c r="L24" s="229">
        <v>22.0</v>
      </c>
      <c r="M24" s="229">
        <v>16.0</v>
      </c>
      <c r="N24" s="230" t="s">
        <v>1734</v>
      </c>
      <c r="O24" s="9" t="s">
        <v>1626</v>
      </c>
      <c r="P24" s="9" t="s">
        <v>157</v>
      </c>
      <c r="Q24" s="9"/>
      <c r="R24" s="9" t="s">
        <v>81</v>
      </c>
      <c r="S24" s="9" t="s">
        <v>157</v>
      </c>
      <c r="T24" s="9" t="s">
        <v>157</v>
      </c>
      <c r="U24" s="9" t="s">
        <v>81</v>
      </c>
      <c r="V24" s="9">
        <v>2.0</v>
      </c>
      <c r="W24" s="9">
        <v>11.0</v>
      </c>
      <c r="X24" s="9">
        <v>1.0</v>
      </c>
      <c r="Y24" s="15"/>
      <c r="Z24" s="15"/>
      <c r="AA24" s="15"/>
      <c r="AB24" s="15"/>
      <c r="AC24" s="9"/>
      <c r="AD24" s="9"/>
      <c r="AE24" s="9"/>
      <c r="AF24" s="22" t="s">
        <v>1735</v>
      </c>
    </row>
    <row r="25">
      <c r="A25" s="29" t="s">
        <v>1736</v>
      </c>
      <c r="B25" s="29" t="s">
        <v>1737</v>
      </c>
      <c r="C25" s="189" t="s">
        <v>1738</v>
      </c>
      <c r="D25" s="9" t="s">
        <v>1622</v>
      </c>
      <c r="E25" s="227">
        <v>10.0</v>
      </c>
      <c r="F25" s="228">
        <v>300.0</v>
      </c>
      <c r="G25" s="9" t="s">
        <v>157</v>
      </c>
      <c r="H25" s="9" t="s">
        <v>1623</v>
      </c>
      <c r="I25" s="9" t="s">
        <v>157</v>
      </c>
      <c r="J25" s="9" t="s">
        <v>157</v>
      </c>
      <c r="K25" s="9" t="s">
        <v>102</v>
      </c>
      <c r="L25" s="229">
        <v>20.0</v>
      </c>
      <c r="M25" s="229">
        <v>10.0</v>
      </c>
      <c r="N25" s="230" t="s">
        <v>1739</v>
      </c>
      <c r="O25" s="9" t="s">
        <v>1626</v>
      </c>
      <c r="P25" s="9" t="s">
        <v>81</v>
      </c>
      <c r="Q25" s="9"/>
      <c r="R25" s="9" t="s">
        <v>81</v>
      </c>
      <c r="S25" s="9" t="s">
        <v>81</v>
      </c>
      <c r="T25" s="9" t="s">
        <v>81</v>
      </c>
      <c r="U25" s="9" t="s">
        <v>81</v>
      </c>
      <c r="V25" s="9">
        <v>2.0</v>
      </c>
      <c r="W25" s="9">
        <v>12.0</v>
      </c>
      <c r="X25" s="9">
        <v>1.0</v>
      </c>
      <c r="Y25" s="9"/>
      <c r="Z25" s="15"/>
      <c r="AA25" s="15"/>
      <c r="AB25" s="15"/>
      <c r="AC25" s="9" t="s">
        <v>1740</v>
      </c>
      <c r="AD25" s="30" t="s">
        <v>1741</v>
      </c>
      <c r="AE25" s="9"/>
      <c r="AF25" s="9" t="s">
        <v>1742</v>
      </c>
    </row>
    <row r="26">
      <c r="A26" s="108" t="s">
        <v>1743</v>
      </c>
      <c r="B26" s="1" t="s">
        <v>1744</v>
      </c>
      <c r="C26" s="13" t="s">
        <v>1745</v>
      </c>
      <c r="D26" s="9" t="s">
        <v>1746</v>
      </c>
      <c r="E26" s="227">
        <v>13.0</v>
      </c>
      <c r="F26" s="228">
        <v>230.0</v>
      </c>
      <c r="G26" s="9" t="s">
        <v>1691</v>
      </c>
      <c r="H26" s="9" t="s">
        <v>1631</v>
      </c>
      <c r="I26" s="9" t="s">
        <v>81</v>
      </c>
      <c r="J26" s="9" t="s">
        <v>81</v>
      </c>
      <c r="K26" s="9" t="s">
        <v>1624</v>
      </c>
      <c r="L26" s="229">
        <v>20.0</v>
      </c>
      <c r="M26" s="229">
        <v>14.0</v>
      </c>
      <c r="N26" s="230"/>
      <c r="O26" s="9" t="s">
        <v>1626</v>
      </c>
      <c r="P26" s="9" t="s">
        <v>157</v>
      </c>
      <c r="Q26" s="9"/>
      <c r="R26" s="9" t="s">
        <v>81</v>
      </c>
      <c r="S26" s="9" t="s">
        <v>157</v>
      </c>
      <c r="T26" s="9" t="s">
        <v>157</v>
      </c>
      <c r="U26" s="9" t="s">
        <v>81</v>
      </c>
      <c r="V26" s="9">
        <v>2.0</v>
      </c>
      <c r="W26" s="9">
        <v>12.0</v>
      </c>
      <c r="X26" s="9">
        <v>2.0</v>
      </c>
      <c r="Y26" s="15"/>
      <c r="Z26" s="15"/>
      <c r="AA26" s="15"/>
      <c r="AB26" s="15"/>
      <c r="AC26" s="9"/>
      <c r="AD26" s="9"/>
      <c r="AE26" s="9"/>
      <c r="AF26" s="22" t="s">
        <v>1747</v>
      </c>
    </row>
    <row r="27">
      <c r="A27" s="108" t="s">
        <v>1748</v>
      </c>
      <c r="B27" s="1" t="s">
        <v>1749</v>
      </c>
      <c r="C27" s="13" t="s">
        <v>1750</v>
      </c>
      <c r="D27" s="9" t="s">
        <v>1634</v>
      </c>
      <c r="E27" s="227">
        <v>13.0</v>
      </c>
      <c r="F27" s="228">
        <v>250.0</v>
      </c>
      <c r="G27" s="9" t="s">
        <v>1691</v>
      </c>
      <c r="H27" s="9" t="s">
        <v>1751</v>
      </c>
      <c r="I27" s="9" t="s">
        <v>81</v>
      </c>
      <c r="J27" s="9" t="s">
        <v>81</v>
      </c>
      <c r="K27" s="9" t="s">
        <v>1624</v>
      </c>
      <c r="L27" s="229">
        <v>28.0</v>
      </c>
      <c r="M27" s="229">
        <v>16.0</v>
      </c>
      <c r="N27" s="230"/>
      <c r="O27" s="9" t="s">
        <v>1626</v>
      </c>
      <c r="P27" s="9" t="s">
        <v>81</v>
      </c>
      <c r="Q27" s="9"/>
      <c r="R27" s="9" t="s">
        <v>81</v>
      </c>
      <c r="S27" s="9" t="s">
        <v>157</v>
      </c>
      <c r="T27" s="9" t="s">
        <v>157</v>
      </c>
      <c r="U27" s="9" t="s">
        <v>81</v>
      </c>
      <c r="V27" s="9">
        <v>2.0</v>
      </c>
      <c r="W27" s="9"/>
      <c r="X27" s="9"/>
      <c r="Y27" s="9"/>
      <c r="Z27" s="15"/>
      <c r="AA27" s="15"/>
      <c r="AB27" s="15"/>
      <c r="AC27" s="9"/>
      <c r="AD27" s="9"/>
      <c r="AE27" s="9"/>
      <c r="AF27" s="9" t="s">
        <v>1752</v>
      </c>
    </row>
    <row r="28">
      <c r="A28" s="108" t="s">
        <v>1753</v>
      </c>
      <c r="B28" s="1" t="s">
        <v>1646</v>
      </c>
      <c r="C28" s="30" t="s">
        <v>1754</v>
      </c>
      <c r="D28" s="9" t="s">
        <v>1622</v>
      </c>
      <c r="E28" s="227">
        <v>13.0</v>
      </c>
      <c r="F28" s="228">
        <v>600.0</v>
      </c>
      <c r="G28" s="9" t="s">
        <v>157</v>
      </c>
      <c r="H28" s="9" t="s">
        <v>1631</v>
      </c>
      <c r="I28" s="9" t="s">
        <v>157</v>
      </c>
      <c r="J28" s="9" t="s">
        <v>81</v>
      </c>
      <c r="K28" s="9" t="s">
        <v>1624</v>
      </c>
      <c r="L28" s="229">
        <v>28.0</v>
      </c>
      <c r="M28" s="229">
        <v>16.0</v>
      </c>
      <c r="N28" s="230">
        <v>4.2</v>
      </c>
      <c r="O28" s="9" t="s">
        <v>1626</v>
      </c>
      <c r="P28" s="9" t="s">
        <v>157</v>
      </c>
      <c r="Q28" s="9"/>
      <c r="R28" s="9" t="s">
        <v>81</v>
      </c>
      <c r="S28" s="9" t="s">
        <v>157</v>
      </c>
      <c r="T28" s="9" t="s">
        <v>157</v>
      </c>
      <c r="U28" s="9" t="s">
        <v>81</v>
      </c>
      <c r="V28" s="9">
        <v>2.0</v>
      </c>
      <c r="W28" s="9">
        <v>16.0</v>
      </c>
      <c r="X28" s="9">
        <v>2.0</v>
      </c>
      <c r="Y28" s="15"/>
      <c r="Z28" s="15"/>
      <c r="AA28" s="15"/>
      <c r="AB28" s="15"/>
      <c r="AC28" s="9" t="s">
        <v>1755</v>
      </c>
      <c r="AD28" s="9"/>
      <c r="AE28" s="9"/>
      <c r="AF28" s="22" t="s">
        <v>1756</v>
      </c>
    </row>
    <row r="29">
      <c r="A29" s="108" t="s">
        <v>1757</v>
      </c>
      <c r="B29" s="1" t="s">
        <v>1758</v>
      </c>
      <c r="C29" s="23" t="s">
        <v>1759</v>
      </c>
      <c r="D29" s="9" t="s">
        <v>1622</v>
      </c>
      <c r="E29" s="227">
        <v>14.0</v>
      </c>
      <c r="F29" s="228">
        <v>24.0</v>
      </c>
      <c r="G29" s="9" t="s">
        <v>1691</v>
      </c>
      <c r="H29" s="9" t="s">
        <v>1631</v>
      </c>
      <c r="I29" s="9" t="s">
        <v>81</v>
      </c>
      <c r="J29" s="9" t="s">
        <v>81</v>
      </c>
      <c r="K29" s="9" t="s">
        <v>157</v>
      </c>
      <c r="L29" s="229">
        <v>22.0</v>
      </c>
      <c r="M29" s="229">
        <v>14.0</v>
      </c>
      <c r="N29" s="230">
        <v>6.0</v>
      </c>
      <c r="O29" s="9" t="s">
        <v>1626</v>
      </c>
      <c r="P29" s="9" t="s">
        <v>157</v>
      </c>
      <c r="Q29" s="9"/>
      <c r="R29" s="9" t="s">
        <v>81</v>
      </c>
      <c r="S29" s="9" t="s">
        <v>157</v>
      </c>
      <c r="T29" s="9" t="s">
        <v>157</v>
      </c>
      <c r="U29" s="9" t="s">
        <v>81</v>
      </c>
      <c r="V29" s="9">
        <v>1.0</v>
      </c>
      <c r="W29" s="9">
        <v>8.0</v>
      </c>
      <c r="X29" s="9">
        <v>2.0</v>
      </c>
      <c r="Y29" s="9"/>
      <c r="Z29" s="15"/>
      <c r="AA29" s="15"/>
      <c r="AB29" s="15"/>
      <c r="AC29" s="9"/>
      <c r="AD29" s="9"/>
      <c r="AE29" s="9"/>
      <c r="AF29" s="9" t="s">
        <v>1760</v>
      </c>
    </row>
    <row r="30">
      <c r="A30" s="5" t="s">
        <v>1761</v>
      </c>
      <c r="B30" s="1" t="s">
        <v>1711</v>
      </c>
      <c r="C30" s="189" t="s">
        <v>1762</v>
      </c>
      <c r="D30" s="9" t="s">
        <v>1634</v>
      </c>
      <c r="E30" s="227">
        <v>16.0</v>
      </c>
      <c r="F30" s="228">
        <v>50.0</v>
      </c>
      <c r="G30" s="9" t="s">
        <v>1677</v>
      </c>
      <c r="H30" s="9" t="s">
        <v>1631</v>
      </c>
      <c r="I30" s="9" t="s">
        <v>81</v>
      </c>
      <c r="J30" s="9" t="s">
        <v>81</v>
      </c>
      <c r="K30" s="9" t="s">
        <v>102</v>
      </c>
      <c r="L30" s="229">
        <v>22.0</v>
      </c>
      <c r="M30" s="229">
        <v>14.0</v>
      </c>
      <c r="N30" s="230"/>
      <c r="O30" s="9" t="s">
        <v>1626</v>
      </c>
      <c r="P30" s="9" t="s">
        <v>81</v>
      </c>
      <c r="Q30" s="9"/>
      <c r="R30" s="9" t="s">
        <v>81</v>
      </c>
      <c r="S30" s="9" t="s">
        <v>81</v>
      </c>
      <c r="T30" s="9" t="s">
        <v>157</v>
      </c>
      <c r="U30" s="9" t="s">
        <v>81</v>
      </c>
      <c r="V30" s="9">
        <v>2.0</v>
      </c>
      <c r="W30" s="9">
        <v>7.0</v>
      </c>
      <c r="X30" s="9" t="s">
        <v>1667</v>
      </c>
      <c r="Y30" s="15"/>
      <c r="Z30" s="15"/>
      <c r="AA30" s="15"/>
      <c r="AB30" s="9" t="s">
        <v>1713</v>
      </c>
      <c r="AC30" s="1" t="s">
        <v>1763</v>
      </c>
      <c r="AD30" s="9"/>
      <c r="AE30" s="9"/>
      <c r="AF30" s="9" t="s">
        <v>1764</v>
      </c>
    </row>
    <row r="31" ht="14.25" customHeight="1">
      <c r="A31" s="29" t="s">
        <v>1765</v>
      </c>
      <c r="B31" s="111" t="s">
        <v>1766</v>
      </c>
      <c r="C31" s="23" t="s">
        <v>1767</v>
      </c>
      <c r="D31" s="9" t="s">
        <v>1634</v>
      </c>
      <c r="E31" s="227">
        <v>16.0</v>
      </c>
      <c r="F31" s="228">
        <v>250.0</v>
      </c>
      <c r="G31" s="9" t="s">
        <v>398</v>
      </c>
      <c r="H31" s="9" t="s">
        <v>1631</v>
      </c>
      <c r="I31" s="9" t="s">
        <v>81</v>
      </c>
      <c r="J31" s="9" t="s">
        <v>81</v>
      </c>
      <c r="K31" s="9" t="s">
        <v>157</v>
      </c>
      <c r="L31" s="229">
        <v>20.0</v>
      </c>
      <c r="M31" s="229">
        <v>12.0</v>
      </c>
      <c r="N31" s="230"/>
      <c r="O31" s="9" t="s">
        <v>1768</v>
      </c>
      <c r="P31" s="9" t="s">
        <v>81</v>
      </c>
      <c r="Q31" s="9" t="s">
        <v>81</v>
      </c>
      <c r="R31" s="9" t="s">
        <v>81</v>
      </c>
      <c r="S31" s="9" t="s">
        <v>157</v>
      </c>
      <c r="T31" s="9" t="s">
        <v>157</v>
      </c>
      <c r="U31" s="9" t="s">
        <v>81</v>
      </c>
      <c r="V31" s="9">
        <v>3.0</v>
      </c>
      <c r="W31" s="9">
        <v>3.0</v>
      </c>
      <c r="X31" s="9" t="s">
        <v>1667</v>
      </c>
      <c r="Y31" s="9"/>
      <c r="Z31" s="15"/>
      <c r="AA31" s="15"/>
      <c r="AB31" s="15"/>
      <c r="AC31" s="9" t="s">
        <v>1769</v>
      </c>
      <c r="AD31" s="9"/>
      <c r="AE31" s="9"/>
      <c r="AF31" s="9" t="s">
        <v>1770</v>
      </c>
    </row>
    <row r="32">
      <c r="A32" s="5" t="s">
        <v>1771</v>
      </c>
      <c r="B32" s="1" t="s">
        <v>1213</v>
      </c>
      <c r="C32" s="13" t="s">
        <v>1772</v>
      </c>
      <c r="D32" s="9" t="s">
        <v>1634</v>
      </c>
      <c r="E32" s="227">
        <v>16.0</v>
      </c>
      <c r="F32" s="228">
        <v>415.0</v>
      </c>
      <c r="G32" s="9" t="s">
        <v>398</v>
      </c>
      <c r="H32" s="9" t="s">
        <v>1631</v>
      </c>
      <c r="I32" s="9" t="s">
        <v>81</v>
      </c>
      <c r="J32" s="9" t="s">
        <v>81</v>
      </c>
      <c r="K32" s="9" t="s">
        <v>157</v>
      </c>
      <c r="L32" s="229">
        <v>22.0</v>
      </c>
      <c r="M32" s="229">
        <v>12.0</v>
      </c>
      <c r="N32" s="230"/>
      <c r="O32" s="9" t="s">
        <v>1626</v>
      </c>
      <c r="P32" s="9" t="s">
        <v>157</v>
      </c>
      <c r="Q32" s="9" t="s">
        <v>81</v>
      </c>
      <c r="R32" s="9" t="s">
        <v>81</v>
      </c>
      <c r="S32" s="9" t="s">
        <v>157</v>
      </c>
      <c r="T32" s="9" t="s">
        <v>157</v>
      </c>
      <c r="U32" s="9" t="s">
        <v>81</v>
      </c>
      <c r="V32" s="9">
        <v>3.0</v>
      </c>
      <c r="W32" s="9">
        <v>7.0</v>
      </c>
      <c r="X32" s="9"/>
      <c r="Y32" s="15"/>
      <c r="Z32" s="15"/>
      <c r="AA32" s="15"/>
      <c r="AB32" s="15"/>
      <c r="AC32" s="9" t="s">
        <v>1773</v>
      </c>
      <c r="AD32" s="9"/>
      <c r="AE32" s="9"/>
      <c r="AF32" s="22" t="s">
        <v>1774</v>
      </c>
    </row>
    <row r="33">
      <c r="A33" s="5" t="s">
        <v>1775</v>
      </c>
      <c r="B33" s="1" t="s">
        <v>1776</v>
      </c>
      <c r="C33" s="30" t="s">
        <v>1777</v>
      </c>
      <c r="D33" s="9" t="s">
        <v>1634</v>
      </c>
      <c r="E33" s="227">
        <v>16.0</v>
      </c>
      <c r="F33" s="228">
        <v>250.0</v>
      </c>
      <c r="G33" s="9" t="s">
        <v>1662</v>
      </c>
      <c r="H33" s="9" t="s">
        <v>1631</v>
      </c>
      <c r="I33" s="9" t="s">
        <v>157</v>
      </c>
      <c r="J33" s="9" t="s">
        <v>81</v>
      </c>
      <c r="K33" s="9" t="s">
        <v>157</v>
      </c>
      <c r="L33" s="229">
        <v>20.0</v>
      </c>
      <c r="M33" s="229">
        <v>12.0</v>
      </c>
      <c r="N33" s="230"/>
      <c r="O33" s="9" t="s">
        <v>1626</v>
      </c>
      <c r="P33" s="9"/>
      <c r="Q33" s="9" t="s">
        <v>157</v>
      </c>
      <c r="R33" s="9" t="s">
        <v>157</v>
      </c>
      <c r="S33" s="9" t="s">
        <v>157</v>
      </c>
      <c r="T33" s="9" t="s">
        <v>157</v>
      </c>
      <c r="U33" s="9" t="s">
        <v>81</v>
      </c>
      <c r="V33" s="9">
        <v>6.0</v>
      </c>
      <c r="W33" s="9">
        <v>6.0</v>
      </c>
      <c r="X33" s="9" t="s">
        <v>1667</v>
      </c>
      <c r="Y33" s="9">
        <v>2023.0</v>
      </c>
      <c r="Z33" s="15"/>
      <c r="AA33" s="15"/>
      <c r="AB33" s="9"/>
      <c r="AC33" s="9"/>
      <c r="AD33" s="9"/>
      <c r="AE33" s="9"/>
      <c r="AF33" s="22" t="s">
        <v>1778</v>
      </c>
    </row>
    <row r="34">
      <c r="A34" s="5" t="s">
        <v>1779</v>
      </c>
      <c r="B34" s="1" t="s">
        <v>1780</v>
      </c>
      <c r="C34" s="30" t="s">
        <v>1781</v>
      </c>
      <c r="D34" s="9" t="s">
        <v>1634</v>
      </c>
      <c r="E34" s="227">
        <v>16.0</v>
      </c>
      <c r="F34" s="228">
        <v>400.0</v>
      </c>
      <c r="G34" s="9" t="s">
        <v>1662</v>
      </c>
      <c r="H34" s="9" t="s">
        <v>1666</v>
      </c>
      <c r="I34" s="9" t="s">
        <v>81</v>
      </c>
      <c r="J34" s="9" t="s">
        <v>81</v>
      </c>
      <c r="K34" s="9" t="s">
        <v>157</v>
      </c>
      <c r="L34" s="229">
        <v>22.0</v>
      </c>
      <c r="M34" s="229">
        <v>12.0</v>
      </c>
      <c r="N34" s="230"/>
      <c r="O34" s="9" t="s">
        <v>1626</v>
      </c>
      <c r="P34" s="9" t="s">
        <v>81</v>
      </c>
      <c r="Q34" s="9" t="s">
        <v>81</v>
      </c>
      <c r="R34" s="9" t="s">
        <v>157</v>
      </c>
      <c r="S34" s="9" t="s">
        <v>157</v>
      </c>
      <c r="T34" s="9" t="s">
        <v>157</v>
      </c>
      <c r="U34" s="9" t="s">
        <v>81</v>
      </c>
      <c r="V34" s="9">
        <v>3.0</v>
      </c>
      <c r="W34" s="9">
        <v>7.0</v>
      </c>
      <c r="X34" s="9" t="s">
        <v>1667</v>
      </c>
      <c r="Y34" s="9"/>
      <c r="Z34" s="15"/>
      <c r="AA34" s="15"/>
      <c r="AB34" s="15"/>
      <c r="AC34" s="9"/>
      <c r="AD34" s="9"/>
      <c r="AE34" s="9"/>
      <c r="AF34" s="22" t="s">
        <v>1782</v>
      </c>
    </row>
    <row r="35">
      <c r="A35" s="5" t="s">
        <v>1783</v>
      </c>
      <c r="B35" s="1" t="s">
        <v>1784</v>
      </c>
      <c r="C35" s="13" t="s">
        <v>1785</v>
      </c>
      <c r="D35" s="9" t="s">
        <v>1634</v>
      </c>
      <c r="E35" s="227">
        <v>16.0</v>
      </c>
      <c r="F35" s="228">
        <v>400.0</v>
      </c>
      <c r="G35" s="9" t="s">
        <v>1786</v>
      </c>
      <c r="H35" s="9" t="s">
        <v>1631</v>
      </c>
      <c r="I35" s="9" t="s">
        <v>81</v>
      </c>
      <c r="J35" s="9" t="s">
        <v>81</v>
      </c>
      <c r="K35" s="9" t="s">
        <v>157</v>
      </c>
      <c r="L35" s="229">
        <v>22.0</v>
      </c>
      <c r="M35" s="229">
        <v>12.0</v>
      </c>
      <c r="N35" s="230"/>
      <c r="O35" s="9" t="s">
        <v>1626</v>
      </c>
      <c r="P35" s="9" t="s">
        <v>157</v>
      </c>
      <c r="Q35" s="9" t="s">
        <v>81</v>
      </c>
      <c r="R35" s="9" t="s">
        <v>81</v>
      </c>
      <c r="S35" s="9" t="s">
        <v>157</v>
      </c>
      <c r="T35" s="9" t="s">
        <v>157</v>
      </c>
      <c r="U35" s="9" t="s">
        <v>81</v>
      </c>
      <c r="V35" s="9">
        <v>2.0</v>
      </c>
      <c r="W35" s="9">
        <v>7.0</v>
      </c>
      <c r="X35" s="9"/>
      <c r="Y35" s="15"/>
      <c r="Z35" s="15"/>
      <c r="AA35" s="15"/>
      <c r="AB35" s="9"/>
      <c r="AC35" s="9"/>
      <c r="AD35" s="9"/>
      <c r="AE35" s="9"/>
      <c r="AF35" s="22" t="s">
        <v>1787</v>
      </c>
    </row>
    <row r="36">
      <c r="A36" s="5" t="s">
        <v>1788</v>
      </c>
      <c r="B36" s="1" t="s">
        <v>1789</v>
      </c>
      <c r="C36" s="30" t="s">
        <v>1790</v>
      </c>
      <c r="D36" s="9" t="s">
        <v>1634</v>
      </c>
      <c r="E36" s="227">
        <v>17.5</v>
      </c>
      <c r="F36" s="228">
        <v>450.0</v>
      </c>
      <c r="G36" s="9" t="s">
        <v>1691</v>
      </c>
      <c r="H36" s="9" t="s">
        <v>1666</v>
      </c>
      <c r="I36" s="9" t="s">
        <v>81</v>
      </c>
      <c r="J36" s="9" t="s">
        <v>81</v>
      </c>
      <c r="K36" s="9" t="s">
        <v>157</v>
      </c>
      <c r="L36" s="229">
        <v>6.0</v>
      </c>
      <c r="M36" s="229">
        <v>16.0</v>
      </c>
      <c r="N36" s="230"/>
      <c r="O36" s="9" t="s">
        <v>1626</v>
      </c>
      <c r="P36" s="9" t="s">
        <v>157</v>
      </c>
      <c r="Q36" s="9" t="s">
        <v>81</v>
      </c>
      <c r="R36" s="9" t="s">
        <v>157</v>
      </c>
      <c r="S36" s="9" t="s">
        <v>81</v>
      </c>
      <c r="T36" s="9" t="s">
        <v>157</v>
      </c>
      <c r="U36" s="9" t="s">
        <v>81</v>
      </c>
      <c r="V36" s="9">
        <v>2.0</v>
      </c>
      <c r="W36" s="9">
        <v>6.0</v>
      </c>
      <c r="X36" s="9"/>
      <c r="Y36" s="9"/>
      <c r="Z36" s="15"/>
      <c r="AA36" s="15"/>
      <c r="AB36" s="15"/>
      <c r="AC36" s="9" t="s">
        <v>1791</v>
      </c>
      <c r="AD36" s="9"/>
      <c r="AE36" s="9"/>
      <c r="AF36" s="22" t="s">
        <v>1792</v>
      </c>
    </row>
    <row r="37">
      <c r="A37" s="5" t="s">
        <v>1793</v>
      </c>
      <c r="B37" s="1" t="s">
        <v>1758</v>
      </c>
      <c r="C37" s="30" t="s">
        <v>1794</v>
      </c>
      <c r="D37" s="9" t="s">
        <v>1622</v>
      </c>
      <c r="E37" s="227">
        <v>19.0</v>
      </c>
      <c r="F37" s="228">
        <v>600.0</v>
      </c>
      <c r="G37" s="9" t="s">
        <v>157</v>
      </c>
      <c r="H37" s="9" t="s">
        <v>1631</v>
      </c>
      <c r="I37" s="9" t="s">
        <v>157</v>
      </c>
      <c r="J37" s="9" t="s">
        <v>81</v>
      </c>
      <c r="K37" s="9" t="s">
        <v>1624</v>
      </c>
      <c r="L37" s="229">
        <v>30.0</v>
      </c>
      <c r="M37" s="229">
        <v>10.0</v>
      </c>
      <c r="N37" s="230">
        <v>5.08</v>
      </c>
      <c r="O37" s="9" t="s">
        <v>1626</v>
      </c>
      <c r="P37" s="9" t="s">
        <v>157</v>
      </c>
      <c r="Q37" s="9" t="s">
        <v>157</v>
      </c>
      <c r="R37" s="9" t="s">
        <v>81</v>
      </c>
      <c r="S37" s="9" t="s">
        <v>157</v>
      </c>
      <c r="T37" s="9" t="s">
        <v>157</v>
      </c>
      <c r="U37" s="9" t="s">
        <v>81</v>
      </c>
      <c r="V37" s="9">
        <v>2.0</v>
      </c>
      <c r="W37" s="9">
        <v>10.0</v>
      </c>
      <c r="X37" s="9">
        <v>2.0</v>
      </c>
      <c r="Y37" s="15"/>
      <c r="Z37" s="15"/>
      <c r="AA37" s="15"/>
      <c r="AB37" s="15"/>
      <c r="AC37" s="9" t="s">
        <v>1795</v>
      </c>
      <c r="AD37" s="9"/>
      <c r="AE37" s="9"/>
      <c r="AF37" s="22" t="s">
        <v>1796</v>
      </c>
    </row>
    <row r="38">
      <c r="A38" s="108" t="s">
        <v>1797</v>
      </c>
      <c r="B38" s="1" t="s">
        <v>1798</v>
      </c>
      <c r="C38" s="23" t="s">
        <v>1799</v>
      </c>
      <c r="D38" s="9" t="s">
        <v>1634</v>
      </c>
      <c r="E38" s="227">
        <v>23.0</v>
      </c>
      <c r="F38" s="228">
        <v>600.0</v>
      </c>
      <c r="G38" s="9" t="s">
        <v>1662</v>
      </c>
      <c r="H38" s="9" t="s">
        <v>1666</v>
      </c>
      <c r="I38" s="9" t="s">
        <v>81</v>
      </c>
      <c r="J38" s="9" t="s">
        <v>81</v>
      </c>
      <c r="K38" s="9" t="s">
        <v>1624</v>
      </c>
      <c r="L38" s="229">
        <v>20.0</v>
      </c>
      <c r="M38" s="229">
        <v>12.0</v>
      </c>
      <c r="N38" s="230"/>
      <c r="O38" s="9" t="s">
        <v>1626</v>
      </c>
      <c r="P38" s="9" t="s">
        <v>81</v>
      </c>
      <c r="Q38" s="9"/>
      <c r="R38" s="9" t="s">
        <v>81</v>
      </c>
      <c r="S38" s="9" t="s">
        <v>157</v>
      </c>
      <c r="T38" s="9" t="s">
        <v>157</v>
      </c>
      <c r="U38" s="9" t="s">
        <v>81</v>
      </c>
      <c r="V38" s="9">
        <v>4.0</v>
      </c>
      <c r="W38" s="9">
        <v>36.0</v>
      </c>
      <c r="X38" s="9"/>
      <c r="Y38" s="9">
        <v>1962.0</v>
      </c>
      <c r="Z38" s="15"/>
      <c r="AA38" s="15"/>
      <c r="AB38" s="15"/>
      <c r="AC38" s="9"/>
      <c r="AD38" s="9"/>
      <c r="AE38" s="9"/>
      <c r="AF38" s="22" t="s">
        <v>1800</v>
      </c>
    </row>
    <row r="39">
      <c r="A39" s="108" t="s">
        <v>1801</v>
      </c>
      <c r="B39" s="1" t="s">
        <v>1802</v>
      </c>
      <c r="C39" s="13" t="s">
        <v>1803</v>
      </c>
      <c r="D39" s="9" t="s">
        <v>1622</v>
      </c>
      <c r="E39" s="227">
        <v>25.0</v>
      </c>
      <c r="F39" s="228">
        <v>450.0</v>
      </c>
      <c r="G39" s="9" t="s">
        <v>1677</v>
      </c>
      <c r="H39" s="9" t="s">
        <v>1631</v>
      </c>
      <c r="I39" s="9" t="s">
        <v>81</v>
      </c>
      <c r="J39" s="9" t="s">
        <v>81</v>
      </c>
      <c r="K39" s="9" t="s">
        <v>157</v>
      </c>
      <c r="L39" s="229">
        <v>28.0</v>
      </c>
      <c r="M39" s="229">
        <v>10.0</v>
      </c>
      <c r="N39" s="230"/>
      <c r="O39" s="9" t="s">
        <v>1626</v>
      </c>
      <c r="P39" s="9" t="s">
        <v>81</v>
      </c>
      <c r="Q39" s="9" t="s">
        <v>81</v>
      </c>
      <c r="R39" s="9" t="s">
        <v>81</v>
      </c>
      <c r="S39" s="9" t="s">
        <v>81</v>
      </c>
      <c r="T39" s="9" t="s">
        <v>157</v>
      </c>
      <c r="U39" s="9" t="s">
        <v>81</v>
      </c>
      <c r="V39" s="9">
        <v>2.0</v>
      </c>
      <c r="W39" s="9">
        <v>36.0</v>
      </c>
      <c r="X39" s="9"/>
      <c r="Y39" s="15"/>
      <c r="Z39" s="15"/>
      <c r="AA39" s="15"/>
      <c r="AB39" s="15"/>
      <c r="AC39" s="9"/>
      <c r="AD39" s="9"/>
      <c r="AE39" s="9"/>
      <c r="AF39" s="22" t="s">
        <v>1804</v>
      </c>
    </row>
    <row r="40">
      <c r="A40" s="29" t="s">
        <v>1805</v>
      </c>
      <c r="B40" s="111" t="s">
        <v>1766</v>
      </c>
      <c r="C40" s="23" t="s">
        <v>1806</v>
      </c>
      <c r="D40" s="9" t="s">
        <v>1634</v>
      </c>
      <c r="E40" s="227">
        <v>30.0</v>
      </c>
      <c r="F40" s="228">
        <v>250.0</v>
      </c>
      <c r="G40" s="9" t="s">
        <v>1707</v>
      </c>
      <c r="H40" s="9" t="s">
        <v>1631</v>
      </c>
      <c r="I40" s="9" t="s">
        <v>81</v>
      </c>
      <c r="J40" s="9" t="s">
        <v>81</v>
      </c>
      <c r="K40" s="9" t="s">
        <v>157</v>
      </c>
      <c r="L40" s="229">
        <v>18.0</v>
      </c>
      <c r="M40" s="229">
        <v>10.0</v>
      </c>
      <c r="N40" s="230"/>
      <c r="O40" s="9" t="s">
        <v>1768</v>
      </c>
      <c r="P40" s="9" t="s">
        <v>81</v>
      </c>
      <c r="Q40" s="9"/>
      <c r="R40" s="9" t="s">
        <v>157</v>
      </c>
      <c r="S40" s="9" t="s">
        <v>157</v>
      </c>
      <c r="T40" s="9" t="s">
        <v>157</v>
      </c>
      <c r="U40" s="9" t="s">
        <v>81</v>
      </c>
      <c r="V40" s="9">
        <v>2.0</v>
      </c>
      <c r="W40" s="9">
        <v>8.0</v>
      </c>
      <c r="X40" s="9" t="s">
        <v>1667</v>
      </c>
      <c r="Y40" s="9"/>
      <c r="Z40" s="15"/>
      <c r="AA40" s="15"/>
      <c r="AB40" s="15"/>
      <c r="AC40" s="9" t="s">
        <v>1807</v>
      </c>
      <c r="AD40" s="9"/>
      <c r="AE40" s="9"/>
      <c r="AF40" s="9" t="s">
        <v>1808</v>
      </c>
    </row>
    <row r="41">
      <c r="A41" s="29" t="s">
        <v>1809</v>
      </c>
      <c r="B41" s="111" t="s">
        <v>1810</v>
      </c>
      <c r="C41" s="23" t="s">
        <v>1811</v>
      </c>
      <c r="D41" s="9" t="s">
        <v>1622</v>
      </c>
      <c r="E41" s="227">
        <v>32.0</v>
      </c>
      <c r="F41" s="228">
        <v>450.0</v>
      </c>
      <c r="G41" s="9" t="s">
        <v>157</v>
      </c>
      <c r="H41" s="9" t="s">
        <v>1631</v>
      </c>
      <c r="I41" s="9" t="s">
        <v>157</v>
      </c>
      <c r="J41" s="9" t="s">
        <v>81</v>
      </c>
      <c r="K41" s="9" t="s">
        <v>157</v>
      </c>
      <c r="L41" s="229">
        <v>28.0</v>
      </c>
      <c r="M41" s="229">
        <v>10.0</v>
      </c>
      <c r="N41" s="230">
        <v>10.0</v>
      </c>
      <c r="O41" s="9" t="s">
        <v>1698</v>
      </c>
      <c r="P41" s="9" t="s">
        <v>157</v>
      </c>
      <c r="Q41" s="9" t="s">
        <v>157</v>
      </c>
      <c r="R41" s="9" t="s">
        <v>157</v>
      </c>
      <c r="S41" s="9" t="s">
        <v>157</v>
      </c>
      <c r="T41" s="9" t="s">
        <v>157</v>
      </c>
      <c r="U41" s="9" t="s">
        <v>157</v>
      </c>
      <c r="V41" s="9">
        <v>2.0</v>
      </c>
      <c r="W41" s="9">
        <v>5.0</v>
      </c>
      <c r="X41" s="9">
        <v>1.0</v>
      </c>
      <c r="Y41" s="9"/>
      <c r="Z41" s="15"/>
      <c r="AA41" s="15"/>
      <c r="AB41" s="15"/>
      <c r="AC41" s="111" t="s">
        <v>1812</v>
      </c>
      <c r="AD41" s="9"/>
      <c r="AE41" s="9"/>
      <c r="AF41" s="9" t="s">
        <v>1813</v>
      </c>
    </row>
    <row r="42">
      <c r="A42" s="233" t="s">
        <v>1814</v>
      </c>
      <c r="B42" s="111" t="s">
        <v>1815</v>
      </c>
      <c r="C42" s="23" t="s">
        <v>1816</v>
      </c>
      <c r="D42" s="9" t="s">
        <v>1622</v>
      </c>
      <c r="E42" s="227">
        <v>55.0</v>
      </c>
      <c r="F42" s="228">
        <v>600.0</v>
      </c>
      <c r="G42" s="9" t="s">
        <v>1817</v>
      </c>
      <c r="H42" s="9" t="s">
        <v>1623</v>
      </c>
      <c r="I42" s="9" t="s">
        <v>81</v>
      </c>
      <c r="J42" s="9" t="s">
        <v>81</v>
      </c>
      <c r="K42" s="9" t="s">
        <v>1624</v>
      </c>
      <c r="L42" s="229">
        <v>20.0</v>
      </c>
      <c r="M42" s="229">
        <v>6.0</v>
      </c>
      <c r="N42" s="230">
        <v>15.9</v>
      </c>
      <c r="O42" s="9" t="s">
        <v>1768</v>
      </c>
      <c r="P42" s="9" t="s">
        <v>81</v>
      </c>
      <c r="Q42" s="9" t="s">
        <v>157</v>
      </c>
      <c r="R42" s="9" t="s">
        <v>81</v>
      </c>
      <c r="S42" s="9" t="s">
        <v>157</v>
      </c>
      <c r="T42" s="9" t="s">
        <v>157</v>
      </c>
      <c r="U42" s="9" t="s">
        <v>157</v>
      </c>
      <c r="V42" s="9">
        <v>1.0</v>
      </c>
      <c r="W42" s="9">
        <v>16.0</v>
      </c>
      <c r="X42" s="9" t="s">
        <v>1667</v>
      </c>
      <c r="Y42" s="9">
        <v>1958.0</v>
      </c>
      <c r="Z42" s="15"/>
      <c r="AA42" s="15"/>
      <c r="AB42" s="9" t="s">
        <v>1818</v>
      </c>
      <c r="AC42" s="9" t="s">
        <v>1807</v>
      </c>
      <c r="AD42" s="30" t="s">
        <v>1819</v>
      </c>
      <c r="AE42" s="9"/>
      <c r="AF42" s="9" t="s">
        <v>1820</v>
      </c>
    </row>
    <row r="43">
      <c r="A43" s="5" t="s">
        <v>1821</v>
      </c>
      <c r="B43" s="1" t="s">
        <v>1822</v>
      </c>
      <c r="C43" s="30" t="s">
        <v>1823</v>
      </c>
      <c r="D43" s="9" t="s">
        <v>1622</v>
      </c>
      <c r="E43" s="227">
        <v>60.0</v>
      </c>
      <c r="F43" s="228">
        <v>24.0</v>
      </c>
      <c r="G43" s="9" t="s">
        <v>157</v>
      </c>
      <c r="H43" s="9" t="s">
        <v>1623</v>
      </c>
      <c r="I43" s="9" t="s">
        <v>157</v>
      </c>
      <c r="J43" s="9" t="s">
        <v>81</v>
      </c>
      <c r="K43" s="9" t="s">
        <v>157</v>
      </c>
      <c r="L43" s="229">
        <v>20.0</v>
      </c>
      <c r="M43" s="229">
        <v>10.0</v>
      </c>
      <c r="N43" s="230">
        <v>12.0</v>
      </c>
      <c r="O43" s="9" t="s">
        <v>1626</v>
      </c>
      <c r="P43" s="9" t="s">
        <v>81</v>
      </c>
      <c r="Q43" s="9"/>
      <c r="R43" s="9" t="s">
        <v>157</v>
      </c>
      <c r="S43" s="9" t="s">
        <v>157</v>
      </c>
      <c r="T43" s="9" t="s">
        <v>157</v>
      </c>
      <c r="U43" s="9" t="s">
        <v>81</v>
      </c>
      <c r="V43" s="9">
        <v>2.0</v>
      </c>
      <c r="W43" s="9">
        <v>3.0</v>
      </c>
      <c r="X43" s="9">
        <v>1.0</v>
      </c>
      <c r="Y43" s="9">
        <v>2018.0</v>
      </c>
      <c r="Z43" s="15"/>
      <c r="AA43" s="15"/>
      <c r="AB43" s="15"/>
      <c r="AC43" s="9" t="s">
        <v>1824</v>
      </c>
      <c r="AD43" s="9"/>
      <c r="AE43" s="9"/>
      <c r="AF43" s="22" t="s">
        <v>1825</v>
      </c>
    </row>
    <row r="44" ht="15.0" customHeight="1">
      <c r="A44" s="5" t="s">
        <v>1826</v>
      </c>
      <c r="B44" s="1" t="s">
        <v>1213</v>
      </c>
      <c r="C44" s="13" t="s">
        <v>1827</v>
      </c>
      <c r="D44" s="9" t="s">
        <v>1828</v>
      </c>
      <c r="E44" s="227" t="s">
        <v>1829</v>
      </c>
      <c r="F44" s="228">
        <v>60.0</v>
      </c>
      <c r="G44" s="9" t="s">
        <v>1635</v>
      </c>
      <c r="H44" s="9" t="s">
        <v>1623</v>
      </c>
      <c r="I44" s="9" t="s">
        <v>157</v>
      </c>
      <c r="J44" s="9" t="s">
        <v>81</v>
      </c>
      <c r="K44" s="9" t="s">
        <v>157</v>
      </c>
      <c r="L44" s="229">
        <v>20.0</v>
      </c>
      <c r="M44" s="229">
        <v>16.0</v>
      </c>
      <c r="N44" s="230"/>
      <c r="O44" s="9" t="s">
        <v>1626</v>
      </c>
      <c r="P44" s="9" t="s">
        <v>81</v>
      </c>
      <c r="Q44" s="9" t="s">
        <v>157</v>
      </c>
      <c r="R44" s="9" t="s">
        <v>157</v>
      </c>
      <c r="S44" s="9" t="s">
        <v>157</v>
      </c>
      <c r="T44" s="9" t="s">
        <v>157</v>
      </c>
      <c r="U44" s="9" t="s">
        <v>81</v>
      </c>
      <c r="V44" s="9">
        <v>3.0</v>
      </c>
      <c r="W44" s="9">
        <v>3.0</v>
      </c>
      <c r="X44" s="9"/>
      <c r="Y44" s="9">
        <v>2018.0</v>
      </c>
      <c r="Z44" s="15"/>
      <c r="AA44" s="15"/>
      <c r="AB44" s="15"/>
      <c r="AC44" s="9" t="s">
        <v>1830</v>
      </c>
      <c r="AD44" s="9"/>
      <c r="AE44" s="9"/>
      <c r="AF44" s="22" t="s">
        <v>1831</v>
      </c>
    </row>
    <row r="45">
      <c r="A45" s="5" t="s">
        <v>1832</v>
      </c>
      <c r="B45" s="111" t="s">
        <v>1213</v>
      </c>
      <c r="C45" s="30" t="s">
        <v>1833</v>
      </c>
      <c r="D45" s="9" t="s">
        <v>1622</v>
      </c>
      <c r="E45" s="227" t="s">
        <v>1834</v>
      </c>
      <c r="F45" s="228">
        <v>42.0</v>
      </c>
      <c r="G45" s="9" t="s">
        <v>157</v>
      </c>
      <c r="H45" s="9" t="s">
        <v>1623</v>
      </c>
      <c r="I45" s="9" t="s">
        <v>157</v>
      </c>
      <c r="J45" s="9" t="s">
        <v>81</v>
      </c>
      <c r="K45" s="9" t="s">
        <v>1624</v>
      </c>
      <c r="L45" s="229">
        <v>22.0</v>
      </c>
      <c r="M45" s="229">
        <v>10.0</v>
      </c>
      <c r="N45" s="230">
        <v>10.0</v>
      </c>
      <c r="O45" s="9" t="s">
        <v>1626</v>
      </c>
      <c r="P45" s="9" t="s">
        <v>81</v>
      </c>
      <c r="Q45" s="9" t="s">
        <v>157</v>
      </c>
      <c r="R45" s="9" t="s">
        <v>157</v>
      </c>
      <c r="S45" s="9" t="s">
        <v>157</v>
      </c>
      <c r="T45" s="9" t="s">
        <v>157</v>
      </c>
      <c r="U45" s="9" t="s">
        <v>81</v>
      </c>
      <c r="V45" s="9">
        <v>2.0</v>
      </c>
      <c r="W45" s="9">
        <v>2.0</v>
      </c>
      <c r="X45" s="9">
        <v>1.0</v>
      </c>
      <c r="Y45" s="15"/>
      <c r="Z45" s="15"/>
      <c r="AA45" s="15"/>
      <c r="AB45" s="9" t="s">
        <v>1835</v>
      </c>
      <c r="AC45" s="9" t="s">
        <v>1836</v>
      </c>
      <c r="AD45" s="9"/>
      <c r="AE45" s="9"/>
      <c r="AF45" s="13" t="s">
        <v>1837</v>
      </c>
    </row>
    <row r="46">
      <c r="A46" s="141"/>
      <c r="B46" s="1"/>
      <c r="C46" s="9"/>
      <c r="D46" s="9"/>
      <c r="E46" s="227"/>
      <c r="F46" s="228"/>
      <c r="G46" s="9"/>
      <c r="H46" s="9"/>
      <c r="I46" s="9"/>
      <c r="J46" s="9"/>
      <c r="K46" s="9"/>
      <c r="L46" s="229"/>
      <c r="M46" s="229"/>
      <c r="N46" s="230"/>
      <c r="O46" s="9"/>
      <c r="P46" s="9"/>
      <c r="Q46" s="9"/>
      <c r="R46" s="9"/>
      <c r="S46" s="9"/>
      <c r="T46" s="9"/>
      <c r="U46" s="9"/>
      <c r="V46" s="9"/>
      <c r="W46" s="9"/>
      <c r="X46" s="9"/>
      <c r="Y46" s="9"/>
      <c r="Z46" s="15"/>
      <c r="AA46" s="15"/>
      <c r="AB46" s="9"/>
      <c r="AC46" s="9"/>
      <c r="AD46" s="9"/>
      <c r="AE46" s="9"/>
      <c r="AF46" s="22"/>
    </row>
  </sheetData>
  <dataValidations>
    <dataValidation type="list" allowBlank="1" sqref="H2:H46">
      <formula1>"Latching,Screw Lock,Detent,Friction"</formula1>
    </dataValidation>
    <dataValidation type="list" allowBlank="1" sqref="I2:J46 P2:U46">
      <formula1>"Yes,No"</formula1>
    </dataValidation>
    <dataValidation type="list" allowBlank="1" sqref="L2:M46">
      <formula1>"6,8,10,12,14,16,18,20,22,24,26,28,30"</formula1>
    </dataValidation>
    <dataValidation type="decimal" operator="greaterThan" allowBlank="1" showDropDown="1" showInputMessage="1" prompt="Enter a positive voltage (in Volts)" sqref="F2:F46">
      <formula1>0.0</formula1>
    </dataValidation>
    <dataValidation type="decimal" allowBlank="1" showDropDown="1" sqref="Y2:Z46">
      <formula1>1900.0</formula1>
      <formula2>3000.0</formula2>
    </dataValidation>
    <dataValidation type="decimal" operator="greaterThan" allowBlank="1" showDropDown="1" showInputMessage="1" prompt="Enter a positive current (in amps)" sqref="E2:E46">
      <formula1>0.0</formula1>
    </dataValidation>
    <dataValidation type="list" allowBlank="1" sqref="K2:K46">
      <formula1>"Both,SMT,PTH,No"</formula1>
    </dataValidation>
    <dataValidation type="decimal" allowBlank="1" showDropDown="1" sqref="V2:W46">
      <formula1>1.0</formula1>
      <formula2>100.0</formula2>
    </dataValidation>
    <dataValidation type="list" allowBlank="1" sqref="X2:X46">
      <formula1>"1,2,N/A"</formula1>
    </dataValidation>
    <dataValidation type="list" allowBlank="1" sqref="O2:O46">
      <formula1>"Pins,Blade,Spring"</formula1>
    </dataValidation>
  </dataValidations>
  <hyperlinks>
    <hyperlink r:id="rId4" ref="G1"/>
    <hyperlink r:id="rId5" ref="A2"/>
    <hyperlink r:id="rId6" ref="B2"/>
    <hyperlink r:id="rId7" ref="C2"/>
    <hyperlink r:id="rId8" ref="A3"/>
    <hyperlink r:id="rId9" ref="C3"/>
    <hyperlink r:id="rId10" ref="A4"/>
    <hyperlink r:id="rId11" ref="C4"/>
    <hyperlink r:id="rId12" ref="AE4"/>
    <hyperlink r:id="rId13" ref="A5"/>
    <hyperlink r:id="rId14" ref="C5"/>
    <hyperlink r:id="rId15" ref="A6"/>
    <hyperlink r:id="rId16" ref="C6"/>
    <hyperlink r:id="rId17" ref="A7"/>
    <hyperlink r:id="rId18" ref="C7"/>
    <hyperlink r:id="rId19" ref="AD7"/>
    <hyperlink r:id="rId20" ref="A8"/>
    <hyperlink r:id="rId21" ref="C8"/>
    <hyperlink r:id="rId22" ref="A9"/>
    <hyperlink r:id="rId23" ref="C9"/>
    <hyperlink r:id="rId24" ref="A10"/>
    <hyperlink r:id="rId25" ref="C10"/>
    <hyperlink r:id="rId26" ref="A11"/>
    <hyperlink r:id="rId27" ref="C11"/>
    <hyperlink r:id="rId28" ref="A12"/>
    <hyperlink r:id="rId29" ref="C12"/>
    <hyperlink r:id="rId30" ref="A13"/>
    <hyperlink r:id="rId31" ref="C13"/>
    <hyperlink r:id="rId32" ref="A14"/>
    <hyperlink r:id="rId33" ref="C14"/>
    <hyperlink r:id="rId34" ref="A15"/>
    <hyperlink r:id="rId35" ref="C15"/>
    <hyperlink r:id="rId36" ref="A16"/>
    <hyperlink r:id="rId37" ref="C16"/>
    <hyperlink r:id="rId38" ref="AD16"/>
    <hyperlink r:id="rId39" ref="A17"/>
    <hyperlink r:id="rId40" ref="C17"/>
    <hyperlink r:id="rId41" ref="AE17"/>
    <hyperlink r:id="rId42" ref="A18"/>
    <hyperlink r:id="rId43" ref="C18"/>
    <hyperlink r:id="rId44" ref="A19"/>
    <hyperlink r:id="rId45" ref="C19"/>
    <hyperlink r:id="rId46" ref="A20"/>
    <hyperlink r:id="rId47" ref="C20"/>
    <hyperlink r:id="rId48" ref="A21"/>
    <hyperlink r:id="rId49" ref="C21"/>
    <hyperlink r:id="rId50" ref="A22"/>
    <hyperlink r:id="rId51" ref="C22"/>
    <hyperlink r:id="rId52" ref="A23"/>
    <hyperlink r:id="rId53" ref="C23"/>
    <hyperlink r:id="rId54" ref="AD23"/>
    <hyperlink r:id="rId55" ref="A24"/>
    <hyperlink r:id="rId56" ref="C24"/>
    <hyperlink r:id="rId57" ref="A25"/>
    <hyperlink r:id="rId58" ref="B25"/>
    <hyperlink r:id="rId59" ref="C25"/>
    <hyperlink r:id="rId60" ref="AD25"/>
    <hyperlink r:id="rId61" ref="A26"/>
    <hyperlink r:id="rId62" ref="C26"/>
    <hyperlink r:id="rId63" ref="A27"/>
    <hyperlink r:id="rId64" ref="C27"/>
    <hyperlink r:id="rId65" ref="A28"/>
    <hyperlink r:id="rId66" ref="C28"/>
    <hyperlink r:id="rId67" ref="A29"/>
    <hyperlink r:id="rId68" ref="C29"/>
    <hyperlink r:id="rId69" ref="A30"/>
    <hyperlink r:id="rId70" ref="C30"/>
    <hyperlink r:id="rId71" ref="A31"/>
    <hyperlink r:id="rId72" ref="C31"/>
    <hyperlink r:id="rId73" ref="A32"/>
    <hyperlink r:id="rId74" ref="C32"/>
    <hyperlink r:id="rId75" ref="A33"/>
    <hyperlink r:id="rId76" ref="C33"/>
    <hyperlink r:id="rId77" ref="A34"/>
    <hyperlink r:id="rId78" ref="C34"/>
    <hyperlink r:id="rId79" ref="A35"/>
    <hyperlink r:id="rId80" ref="C35"/>
    <hyperlink r:id="rId81" ref="A36"/>
    <hyperlink r:id="rId82" ref="C36"/>
    <hyperlink r:id="rId83" ref="A37"/>
    <hyperlink r:id="rId84" ref="C37"/>
    <hyperlink r:id="rId85" ref="A38"/>
    <hyperlink r:id="rId86" ref="C38"/>
    <hyperlink r:id="rId87" ref="A39"/>
    <hyperlink r:id="rId88" location="Han%C2%AE-Range" ref="C39"/>
    <hyperlink r:id="rId89" ref="A40"/>
    <hyperlink r:id="rId90" ref="C40"/>
    <hyperlink r:id="rId91" ref="A41"/>
    <hyperlink r:id="rId92" ref="C41"/>
    <hyperlink r:id="rId93" ref="A42"/>
    <hyperlink r:id="rId94" ref="C42"/>
    <hyperlink r:id="rId95" ref="AD42"/>
    <hyperlink r:id="rId96" ref="A43"/>
    <hyperlink r:id="rId97" ref="C43"/>
    <hyperlink r:id="rId98" ref="A44"/>
    <hyperlink r:id="rId99" ref="C44"/>
    <hyperlink r:id="rId100" ref="A45"/>
    <hyperlink r:id="rId101" ref="C45"/>
    <hyperlink r:id="rId102" ref="AF45"/>
  </hyperlinks>
  <printOptions gridLines="1" horizontalCentered="1"/>
  <pageMargins bottom="0.75" footer="0.0" header="0.0" left="0.25" right="0.25" top="0.75"/>
  <pageSetup paperSize="8" cellComments="atEnd" orientation="landscape" pageOrder="overThenDown"/>
  <drawing r:id="rId103"/>
  <legacyDrawing r:id="rId104"/>
  <tableParts count="1">
    <tablePart r:id="rId10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13"/>
    <col customWidth="1" min="2" max="2" width="40.0"/>
    <col customWidth="1" min="3" max="3" width="13.38"/>
    <col customWidth="1" min="4" max="4" width="16.38"/>
    <col customWidth="1" min="5" max="5" width="18.13"/>
    <col customWidth="1" min="6" max="6" width="16.38"/>
    <col customWidth="1" min="7" max="7" width="9.38"/>
    <col customWidth="1" hidden="1" min="8" max="8" width="12.13"/>
    <col customWidth="1" hidden="1" min="9" max="9" width="9.63"/>
    <col customWidth="1" min="10" max="10" width="21.88"/>
    <col customWidth="1" min="11" max="11" width="12.5"/>
    <col customWidth="1" min="12" max="12" width="13.88"/>
    <col customWidth="1" min="13" max="13" width="19.88"/>
    <col customWidth="1" min="14" max="14" width="8.13"/>
    <col customWidth="1" min="15" max="15" width="112.88"/>
  </cols>
  <sheetData>
    <row r="1">
      <c r="A1" s="209"/>
      <c r="B1" s="209" t="s">
        <v>76</v>
      </c>
      <c r="C1" s="209" t="s">
        <v>1838</v>
      </c>
      <c r="D1" s="209" t="s">
        <v>1839</v>
      </c>
      <c r="E1" s="209" t="s">
        <v>1840</v>
      </c>
      <c r="F1" s="209" t="s">
        <v>1841</v>
      </c>
      <c r="G1" s="209" t="s">
        <v>1842</v>
      </c>
      <c r="H1" s="209" t="s">
        <v>1843</v>
      </c>
      <c r="I1" s="209" t="s">
        <v>1844</v>
      </c>
      <c r="J1" s="234" t="s">
        <v>1845</v>
      </c>
      <c r="K1" s="209" t="s">
        <v>1846</v>
      </c>
      <c r="L1" s="209" t="s">
        <v>1847</v>
      </c>
      <c r="M1" s="209" t="s">
        <v>1848</v>
      </c>
      <c r="N1" s="210" t="s">
        <v>1849</v>
      </c>
      <c r="O1" s="209" t="s">
        <v>1850</v>
      </c>
    </row>
    <row r="2">
      <c r="A2" s="235" t="s">
        <v>1851</v>
      </c>
      <c r="B2" s="23" t="s">
        <v>1852</v>
      </c>
      <c r="C2" s="236">
        <v>43866.0</v>
      </c>
      <c r="D2" s="236">
        <v>43865.0</v>
      </c>
      <c r="E2" s="10" t="s">
        <v>1853</v>
      </c>
      <c r="F2" s="10" t="s">
        <v>1574</v>
      </c>
      <c r="G2" s="10" t="s">
        <v>1854</v>
      </c>
      <c r="H2" s="10" t="s">
        <v>1574</v>
      </c>
      <c r="I2" s="10" t="s">
        <v>1855</v>
      </c>
      <c r="J2" s="237"/>
      <c r="K2" s="236">
        <v>43894.0</v>
      </c>
      <c r="L2" s="15"/>
      <c r="M2" s="10" t="s">
        <v>1856</v>
      </c>
      <c r="N2" s="10" t="s">
        <v>1857</v>
      </c>
      <c r="O2" s="10" t="s">
        <v>1858</v>
      </c>
    </row>
    <row r="3">
      <c r="A3" s="10" t="s">
        <v>1859</v>
      </c>
      <c r="B3" s="23" t="s">
        <v>1860</v>
      </c>
      <c r="C3" s="236">
        <v>43864.0</v>
      </c>
      <c r="D3" s="10">
        <v>3.0</v>
      </c>
      <c r="E3" s="10" t="s">
        <v>1861</v>
      </c>
      <c r="F3" s="10" t="s">
        <v>433</v>
      </c>
      <c r="G3" s="10" t="s">
        <v>1854</v>
      </c>
      <c r="H3" s="10" t="s">
        <v>433</v>
      </c>
      <c r="I3" s="10" t="s">
        <v>1862</v>
      </c>
      <c r="J3" s="237">
        <v>0.113</v>
      </c>
      <c r="K3" s="236">
        <v>43895.0</v>
      </c>
      <c r="L3" s="15"/>
      <c r="M3" s="10" t="s">
        <v>1863</v>
      </c>
      <c r="N3" s="10" t="s">
        <v>1864</v>
      </c>
      <c r="O3" s="10" t="s">
        <v>1865</v>
      </c>
    </row>
    <row r="4">
      <c r="A4" s="10" t="s">
        <v>1866</v>
      </c>
      <c r="B4" s="13" t="s">
        <v>1867</v>
      </c>
      <c r="C4" s="10">
        <v>5.0</v>
      </c>
      <c r="D4" s="10">
        <v>5.0</v>
      </c>
      <c r="E4" s="10" t="s">
        <v>1861</v>
      </c>
      <c r="F4" s="10" t="s">
        <v>433</v>
      </c>
      <c r="G4" s="10" t="s">
        <v>1868</v>
      </c>
      <c r="H4" s="10" t="s">
        <v>1862</v>
      </c>
      <c r="I4" s="10" t="s">
        <v>1862</v>
      </c>
      <c r="J4" s="237"/>
      <c r="K4" s="10">
        <v>5.0</v>
      </c>
      <c r="L4" s="15"/>
      <c r="M4" s="10" t="s">
        <v>1869</v>
      </c>
      <c r="N4" s="10" t="s">
        <v>1870</v>
      </c>
      <c r="O4" s="10" t="s">
        <v>1871</v>
      </c>
    </row>
    <row r="5">
      <c r="A5" s="10" t="s">
        <v>1872</v>
      </c>
      <c r="B5" s="13" t="s">
        <v>1873</v>
      </c>
      <c r="C5" s="10">
        <v>5.0</v>
      </c>
      <c r="D5" s="10">
        <v>5.0</v>
      </c>
      <c r="E5" s="10" t="s">
        <v>1853</v>
      </c>
      <c r="F5" s="10" t="s">
        <v>433</v>
      </c>
      <c r="G5" s="10" t="s">
        <v>1868</v>
      </c>
      <c r="H5" s="10" t="s">
        <v>433</v>
      </c>
      <c r="I5" s="10" t="s">
        <v>1874</v>
      </c>
      <c r="J5" s="237"/>
      <c r="K5" s="10">
        <v>3.0</v>
      </c>
      <c r="L5" s="10" t="s">
        <v>1875</v>
      </c>
      <c r="M5" s="10" t="s">
        <v>1876</v>
      </c>
      <c r="N5" s="10" t="s">
        <v>1864</v>
      </c>
      <c r="O5" s="10" t="s">
        <v>1877</v>
      </c>
    </row>
    <row r="6">
      <c r="A6" s="10" t="s">
        <v>1878</v>
      </c>
      <c r="B6" s="13" t="s">
        <v>1879</v>
      </c>
      <c r="C6" s="10">
        <v>5.0</v>
      </c>
      <c r="D6" s="10">
        <v>3.0</v>
      </c>
      <c r="E6" s="10" t="s">
        <v>1853</v>
      </c>
      <c r="F6" s="10" t="s">
        <v>433</v>
      </c>
      <c r="G6" s="10" t="s">
        <v>1880</v>
      </c>
      <c r="H6" s="10" t="s">
        <v>433</v>
      </c>
      <c r="I6" s="10" t="s">
        <v>1855</v>
      </c>
      <c r="J6" s="237">
        <v>0.015</v>
      </c>
      <c r="K6" s="10">
        <v>2.0</v>
      </c>
      <c r="L6" s="15"/>
      <c r="M6" s="10" t="s">
        <v>1881</v>
      </c>
      <c r="N6" s="9" t="s">
        <v>1849</v>
      </c>
      <c r="O6" s="10" t="s">
        <v>1882</v>
      </c>
    </row>
    <row r="7">
      <c r="A7" s="9" t="s">
        <v>1883</v>
      </c>
      <c r="B7" s="13" t="s">
        <v>1884</v>
      </c>
      <c r="C7" s="10">
        <v>5.0</v>
      </c>
      <c r="D7" s="10">
        <v>3.0</v>
      </c>
      <c r="E7" s="10" t="s">
        <v>1853</v>
      </c>
      <c r="F7" s="10" t="s">
        <v>433</v>
      </c>
      <c r="G7" s="10" t="s">
        <v>1854</v>
      </c>
      <c r="H7" s="10" t="s">
        <v>433</v>
      </c>
      <c r="I7" s="10" t="s">
        <v>1874</v>
      </c>
      <c r="J7" s="237"/>
      <c r="K7" s="10">
        <v>4.0</v>
      </c>
      <c r="L7" s="15"/>
      <c r="M7" s="10" t="s">
        <v>1885</v>
      </c>
      <c r="N7" s="10" t="s">
        <v>1864</v>
      </c>
      <c r="O7" s="9" t="s">
        <v>1886</v>
      </c>
    </row>
    <row r="8">
      <c r="A8" s="10" t="s">
        <v>1887</v>
      </c>
      <c r="B8" s="13" t="s">
        <v>1888</v>
      </c>
      <c r="C8" s="10">
        <v>5.0</v>
      </c>
      <c r="D8" s="10">
        <v>3.0</v>
      </c>
      <c r="E8" s="10" t="s">
        <v>1853</v>
      </c>
      <c r="F8" s="10" t="s">
        <v>433</v>
      </c>
      <c r="G8" s="10" t="s">
        <v>1854</v>
      </c>
      <c r="H8" s="10" t="s">
        <v>433</v>
      </c>
      <c r="I8" s="10" t="s">
        <v>1855</v>
      </c>
      <c r="J8" s="237"/>
      <c r="K8" s="10">
        <v>4.0</v>
      </c>
      <c r="L8" s="15"/>
      <c r="M8" s="10" t="s">
        <v>1885</v>
      </c>
      <c r="N8" s="10" t="s">
        <v>1864</v>
      </c>
      <c r="O8" s="9" t="s">
        <v>1889</v>
      </c>
    </row>
    <row r="9">
      <c r="A9" s="9" t="s">
        <v>1890</v>
      </c>
      <c r="B9" s="30" t="s">
        <v>1891</v>
      </c>
      <c r="C9" s="9">
        <v>5.0</v>
      </c>
      <c r="D9" s="9">
        <v>4.0</v>
      </c>
      <c r="E9" s="9" t="s">
        <v>1861</v>
      </c>
      <c r="F9" s="9" t="s">
        <v>1574</v>
      </c>
      <c r="G9" s="9" t="s">
        <v>1854</v>
      </c>
      <c r="H9" s="10"/>
      <c r="I9" s="10"/>
      <c r="J9" s="237"/>
      <c r="K9" s="9">
        <v>4.0</v>
      </c>
      <c r="L9" s="15"/>
      <c r="M9" s="238" t="s">
        <v>1892</v>
      </c>
      <c r="N9" s="9" t="s">
        <v>1864</v>
      </c>
      <c r="O9" s="9" t="s">
        <v>1893</v>
      </c>
    </row>
    <row r="10">
      <c r="A10" s="10" t="s">
        <v>1894</v>
      </c>
      <c r="B10" s="13" t="s">
        <v>1895</v>
      </c>
      <c r="C10" s="10">
        <v>5.0</v>
      </c>
      <c r="D10" s="236">
        <v>43894.0</v>
      </c>
      <c r="E10" s="10" t="s">
        <v>1861</v>
      </c>
      <c r="F10" s="10" t="s">
        <v>433</v>
      </c>
      <c r="G10" s="10" t="s">
        <v>1896</v>
      </c>
      <c r="H10" s="10" t="s">
        <v>433</v>
      </c>
      <c r="I10" s="10" t="s">
        <v>1862</v>
      </c>
      <c r="J10" s="237">
        <v>0.087</v>
      </c>
      <c r="K10" s="236">
        <v>43894.0</v>
      </c>
      <c r="L10" s="15"/>
      <c r="M10" s="10" t="s">
        <v>1897</v>
      </c>
      <c r="N10" s="10" t="s">
        <v>1898</v>
      </c>
      <c r="O10" s="10" t="s">
        <v>1899</v>
      </c>
    </row>
    <row r="11">
      <c r="A11" s="10" t="s">
        <v>1900</v>
      </c>
      <c r="B11" s="16" t="s">
        <v>1901</v>
      </c>
      <c r="C11" s="10">
        <v>5.0</v>
      </c>
      <c r="D11" s="236">
        <v>43894.0</v>
      </c>
      <c r="E11" s="10" t="s">
        <v>1861</v>
      </c>
      <c r="F11" s="10" t="s">
        <v>433</v>
      </c>
      <c r="G11" s="10" t="s">
        <v>1896</v>
      </c>
      <c r="H11" s="10" t="s">
        <v>433</v>
      </c>
      <c r="I11" s="10" t="s">
        <v>1862</v>
      </c>
      <c r="J11" s="237">
        <v>0.08</v>
      </c>
      <c r="K11" s="236">
        <v>43894.0</v>
      </c>
      <c r="L11" s="15"/>
      <c r="M11" s="10" t="s">
        <v>1902</v>
      </c>
      <c r="N11" s="10" t="s">
        <v>1898</v>
      </c>
      <c r="O11" s="10" t="s">
        <v>1903</v>
      </c>
    </row>
    <row r="12">
      <c r="A12" s="9" t="s">
        <v>1904</v>
      </c>
      <c r="B12" s="23" t="s">
        <v>1905</v>
      </c>
      <c r="C12" s="9">
        <v>5.0</v>
      </c>
      <c r="D12" s="9">
        <v>4.0</v>
      </c>
      <c r="E12" s="9" t="s">
        <v>1861</v>
      </c>
      <c r="F12" s="9" t="s">
        <v>433</v>
      </c>
      <c r="G12" s="9" t="s">
        <v>1906</v>
      </c>
      <c r="H12" s="10"/>
      <c r="I12" s="10"/>
      <c r="J12" s="239"/>
      <c r="K12" s="9">
        <v>3.0</v>
      </c>
      <c r="L12" s="9"/>
      <c r="M12" s="9" t="s">
        <v>1907</v>
      </c>
      <c r="N12" s="9" t="s">
        <v>1849</v>
      </c>
      <c r="O12" s="9" t="s">
        <v>1908</v>
      </c>
    </row>
    <row r="13">
      <c r="A13" s="9" t="s">
        <v>1909</v>
      </c>
      <c r="B13" s="13" t="s">
        <v>1910</v>
      </c>
      <c r="C13" s="9">
        <v>5.0</v>
      </c>
      <c r="D13" s="9">
        <v>5.0</v>
      </c>
      <c r="E13" s="9" t="s">
        <v>1853</v>
      </c>
      <c r="F13" s="9" t="s">
        <v>433</v>
      </c>
      <c r="G13" s="9" t="s">
        <v>1911</v>
      </c>
      <c r="H13" s="10"/>
      <c r="I13" s="10"/>
      <c r="J13" s="237"/>
      <c r="K13" s="9">
        <v>4.0</v>
      </c>
      <c r="L13" s="10" t="s">
        <v>1912</v>
      </c>
      <c r="M13" s="238" t="s">
        <v>1913</v>
      </c>
      <c r="N13" s="9" t="s">
        <v>1849</v>
      </c>
      <c r="O13" s="10" t="s">
        <v>1914</v>
      </c>
    </row>
    <row r="14">
      <c r="A14" s="10" t="s">
        <v>1915</v>
      </c>
      <c r="B14" s="240" t="s">
        <v>1916</v>
      </c>
      <c r="C14" s="10">
        <v>5.0</v>
      </c>
      <c r="D14" s="10">
        <v>5.0</v>
      </c>
      <c r="E14" s="10" t="s">
        <v>1853</v>
      </c>
      <c r="F14" s="10" t="s">
        <v>433</v>
      </c>
      <c r="G14" s="10" t="s">
        <v>1911</v>
      </c>
      <c r="H14" s="10" t="s">
        <v>433</v>
      </c>
      <c r="I14" s="10" t="s">
        <v>1874</v>
      </c>
      <c r="J14" s="237"/>
      <c r="K14" s="236">
        <v>43866.0</v>
      </c>
      <c r="L14" s="15"/>
      <c r="M14" s="10" t="s">
        <v>1917</v>
      </c>
      <c r="N14" s="10" t="s">
        <v>1898</v>
      </c>
      <c r="O14" s="10" t="s">
        <v>1918</v>
      </c>
    </row>
    <row r="15">
      <c r="A15" s="10" t="s">
        <v>1919</v>
      </c>
      <c r="B15" s="13" t="s">
        <v>1920</v>
      </c>
      <c r="C15" s="9">
        <v>5.0</v>
      </c>
      <c r="D15" s="10">
        <v>5.0</v>
      </c>
      <c r="E15" s="10" t="s">
        <v>1853</v>
      </c>
      <c r="F15" s="10" t="s">
        <v>433</v>
      </c>
      <c r="G15" s="10" t="s">
        <v>1921</v>
      </c>
      <c r="H15" s="10" t="s">
        <v>433</v>
      </c>
      <c r="I15" s="10" t="s">
        <v>1874</v>
      </c>
      <c r="J15" s="237">
        <v>0.003</v>
      </c>
      <c r="K15" s="10">
        <v>1.0</v>
      </c>
      <c r="L15" s="15"/>
      <c r="M15" s="10" t="s">
        <v>1922</v>
      </c>
      <c r="N15" s="10" t="s">
        <v>1898</v>
      </c>
      <c r="O15" s="10" t="s">
        <v>1923</v>
      </c>
    </row>
    <row r="16">
      <c r="A16" s="10" t="s">
        <v>1924</v>
      </c>
      <c r="B16" s="16" t="s">
        <v>1925</v>
      </c>
      <c r="C16" s="10">
        <v>4.0</v>
      </c>
      <c r="D16" s="10">
        <v>4.0</v>
      </c>
      <c r="E16" s="10" t="s">
        <v>1861</v>
      </c>
      <c r="F16" s="10" t="s">
        <v>433</v>
      </c>
      <c r="G16" s="10" t="s">
        <v>1868</v>
      </c>
      <c r="H16" s="10" t="s">
        <v>433</v>
      </c>
      <c r="I16" s="10" t="s">
        <v>1862</v>
      </c>
      <c r="J16" s="237"/>
      <c r="K16" s="10">
        <v>4.0</v>
      </c>
      <c r="L16" s="15"/>
      <c r="M16" s="10" t="s">
        <v>1902</v>
      </c>
      <c r="N16" s="10" t="s">
        <v>1898</v>
      </c>
      <c r="O16" s="10" t="s">
        <v>1926</v>
      </c>
    </row>
    <row r="17">
      <c r="A17" s="10" t="s">
        <v>1927</v>
      </c>
      <c r="B17" s="23" t="s">
        <v>1928</v>
      </c>
      <c r="C17" s="10">
        <v>4.0</v>
      </c>
      <c r="D17" s="10">
        <v>3.0</v>
      </c>
      <c r="E17" s="10" t="s">
        <v>1853</v>
      </c>
      <c r="F17" s="10" t="s">
        <v>433</v>
      </c>
      <c r="G17" s="10" t="s">
        <v>1854</v>
      </c>
      <c r="H17" s="10" t="s">
        <v>433</v>
      </c>
      <c r="I17" s="10" t="s">
        <v>1862</v>
      </c>
      <c r="J17" s="237"/>
      <c r="K17" s="10">
        <v>4.0</v>
      </c>
      <c r="L17" s="10" t="s">
        <v>1929</v>
      </c>
      <c r="M17" s="10" t="s">
        <v>1930</v>
      </c>
      <c r="N17" s="10" t="s">
        <v>1849</v>
      </c>
      <c r="O17" s="10" t="s">
        <v>1931</v>
      </c>
    </row>
    <row r="18">
      <c r="A18" s="9" t="s">
        <v>1932</v>
      </c>
      <c r="B18" s="13" t="s">
        <v>1933</v>
      </c>
      <c r="C18" s="9">
        <v>4.0</v>
      </c>
      <c r="D18" s="9">
        <v>4.0</v>
      </c>
      <c r="E18" s="9" t="s">
        <v>1853</v>
      </c>
      <c r="F18" s="9" t="s">
        <v>1574</v>
      </c>
      <c r="G18" s="9" t="s">
        <v>1854</v>
      </c>
      <c r="H18" s="10"/>
      <c r="I18" s="10"/>
      <c r="J18" s="237"/>
      <c r="K18" s="9">
        <v>3.0</v>
      </c>
      <c r="L18" s="15"/>
      <c r="M18" s="9" t="s">
        <v>1934</v>
      </c>
      <c r="N18" s="9" t="s">
        <v>1870</v>
      </c>
      <c r="O18" s="9" t="s">
        <v>1935</v>
      </c>
    </row>
    <row r="19">
      <c r="A19" s="9" t="s">
        <v>1936</v>
      </c>
      <c r="B19" s="13" t="s">
        <v>1937</v>
      </c>
      <c r="C19" s="9">
        <v>4.0</v>
      </c>
      <c r="D19" s="241">
        <v>44989.0</v>
      </c>
      <c r="E19" s="9" t="s">
        <v>1853</v>
      </c>
      <c r="F19" s="9" t="s">
        <v>1574</v>
      </c>
      <c r="G19" s="9" t="s">
        <v>1854</v>
      </c>
      <c r="H19" s="10"/>
      <c r="I19" s="10"/>
      <c r="J19" s="239"/>
      <c r="K19" s="241">
        <v>44989.0</v>
      </c>
      <c r="L19" s="9"/>
      <c r="M19" s="9" t="s">
        <v>1938</v>
      </c>
      <c r="N19" s="9" t="s">
        <v>1857</v>
      </c>
      <c r="O19" s="9" t="s">
        <v>1939</v>
      </c>
    </row>
    <row r="20">
      <c r="A20" s="9" t="s">
        <v>1940</v>
      </c>
      <c r="B20" s="13" t="s">
        <v>1941</v>
      </c>
      <c r="C20" s="9">
        <v>4.0</v>
      </c>
      <c r="D20" s="9">
        <v>3.0</v>
      </c>
      <c r="E20" s="9" t="s">
        <v>1861</v>
      </c>
      <c r="F20" s="9" t="s">
        <v>1574</v>
      </c>
      <c r="G20" s="9" t="s">
        <v>1854</v>
      </c>
      <c r="H20" s="10"/>
      <c r="I20" s="10"/>
      <c r="J20" s="239"/>
      <c r="K20" s="9">
        <v>4.0</v>
      </c>
      <c r="L20" s="9" t="s">
        <v>1942</v>
      </c>
      <c r="M20" s="9" t="s">
        <v>1943</v>
      </c>
      <c r="N20" s="9" t="s">
        <v>1857</v>
      </c>
      <c r="O20" s="9" t="s">
        <v>1944</v>
      </c>
    </row>
    <row r="21">
      <c r="A21" s="9" t="s">
        <v>1945</v>
      </c>
      <c r="B21" s="13" t="s">
        <v>1946</v>
      </c>
      <c r="C21" s="9">
        <v>4.0</v>
      </c>
      <c r="D21" s="9">
        <v>4.0</v>
      </c>
      <c r="E21" s="9" t="s">
        <v>1853</v>
      </c>
      <c r="F21" s="9" t="s">
        <v>1574</v>
      </c>
      <c r="G21" s="9" t="s">
        <v>1854</v>
      </c>
      <c r="H21" s="10"/>
      <c r="I21" s="10"/>
      <c r="J21" s="237"/>
      <c r="K21" s="242">
        <v>44259.0</v>
      </c>
      <c r="L21" s="15"/>
      <c r="M21" s="238" t="s">
        <v>1947</v>
      </c>
      <c r="N21" s="9" t="s">
        <v>1864</v>
      </c>
      <c r="O21" s="9" t="s">
        <v>1948</v>
      </c>
    </row>
    <row r="22">
      <c r="A22" s="9" t="s">
        <v>1949</v>
      </c>
      <c r="B22" s="13" t="s">
        <v>1950</v>
      </c>
      <c r="C22" s="9">
        <v>4.0</v>
      </c>
      <c r="D22" s="9">
        <v>3.0</v>
      </c>
      <c r="E22" s="9" t="s">
        <v>1853</v>
      </c>
      <c r="F22" s="9" t="s">
        <v>770</v>
      </c>
      <c r="G22" s="9" t="s">
        <v>1854</v>
      </c>
      <c r="H22" s="10"/>
      <c r="I22" s="10"/>
      <c r="J22" s="237"/>
      <c r="K22" s="9">
        <v>4.0</v>
      </c>
      <c r="L22" s="15"/>
      <c r="M22" s="9" t="s">
        <v>1951</v>
      </c>
      <c r="N22" s="9" t="s">
        <v>1857</v>
      </c>
      <c r="O22" s="9" t="s">
        <v>1952</v>
      </c>
    </row>
    <row r="23">
      <c r="A23" s="10" t="s">
        <v>1953</v>
      </c>
      <c r="B23" s="16" t="s">
        <v>1954</v>
      </c>
      <c r="C23" s="9">
        <v>4.0</v>
      </c>
      <c r="D23" s="9">
        <v>4.0</v>
      </c>
      <c r="E23" s="10" t="s">
        <v>1853</v>
      </c>
      <c r="F23" s="10" t="s">
        <v>433</v>
      </c>
      <c r="G23" s="10" t="s">
        <v>1955</v>
      </c>
      <c r="H23" s="10" t="s">
        <v>433</v>
      </c>
      <c r="I23" s="10" t="s">
        <v>1862</v>
      </c>
      <c r="J23" s="237"/>
      <c r="K23" s="15"/>
      <c r="L23" s="15"/>
      <c r="M23" s="10" t="s">
        <v>1917</v>
      </c>
      <c r="N23" s="10" t="s">
        <v>1864</v>
      </c>
      <c r="O23" s="10" t="s">
        <v>1956</v>
      </c>
    </row>
    <row r="24">
      <c r="A24" s="9" t="s">
        <v>1957</v>
      </c>
      <c r="B24" s="16" t="s">
        <v>1958</v>
      </c>
      <c r="C24" s="9">
        <v>4.0</v>
      </c>
      <c r="D24" s="10" t="s">
        <v>1959</v>
      </c>
      <c r="E24" s="10" t="s">
        <v>1861</v>
      </c>
      <c r="F24" s="10" t="s">
        <v>433</v>
      </c>
      <c r="G24" s="9" t="s">
        <v>1906</v>
      </c>
      <c r="H24" s="10" t="s">
        <v>433</v>
      </c>
      <c r="I24" s="10" t="s">
        <v>1855</v>
      </c>
      <c r="J24" s="239"/>
      <c r="K24" s="10"/>
      <c r="L24" s="10" t="s">
        <v>1960</v>
      </c>
      <c r="M24" s="10" t="s">
        <v>1863</v>
      </c>
      <c r="N24" s="10" t="s">
        <v>1898</v>
      </c>
      <c r="O24" s="15"/>
    </row>
    <row r="25">
      <c r="A25" s="10" t="s">
        <v>1961</v>
      </c>
      <c r="B25" s="13" t="s">
        <v>1962</v>
      </c>
      <c r="C25" s="10">
        <v>4.0</v>
      </c>
      <c r="D25" s="10">
        <v>5.0</v>
      </c>
      <c r="E25" s="10" t="s">
        <v>1853</v>
      </c>
      <c r="F25" s="10" t="s">
        <v>433</v>
      </c>
      <c r="G25" s="10" t="s">
        <v>1911</v>
      </c>
      <c r="H25" s="10" t="s">
        <v>433</v>
      </c>
      <c r="I25" s="10" t="s">
        <v>1874</v>
      </c>
      <c r="J25" s="237"/>
      <c r="K25" s="10">
        <v>5.0</v>
      </c>
      <c r="L25" s="15"/>
      <c r="M25" s="10" t="s">
        <v>1963</v>
      </c>
      <c r="N25" s="10" t="s">
        <v>1898</v>
      </c>
      <c r="O25" s="10" t="s">
        <v>1964</v>
      </c>
    </row>
    <row r="26">
      <c r="A26" s="10" t="s">
        <v>1965</v>
      </c>
      <c r="B26" s="13" t="s">
        <v>1966</v>
      </c>
      <c r="C26" s="10">
        <v>4.0</v>
      </c>
      <c r="D26" s="10">
        <v>5.0</v>
      </c>
      <c r="E26" s="10" t="s">
        <v>1861</v>
      </c>
      <c r="F26" s="10" t="s">
        <v>433</v>
      </c>
      <c r="G26" s="10" t="s">
        <v>1921</v>
      </c>
      <c r="H26" s="10" t="s">
        <v>433</v>
      </c>
      <c r="I26" s="10" t="s">
        <v>1874</v>
      </c>
      <c r="J26" s="237" t="s">
        <v>1967</v>
      </c>
      <c r="K26" s="236">
        <v>43832.0</v>
      </c>
      <c r="L26" s="15"/>
      <c r="M26" s="10" t="s">
        <v>1968</v>
      </c>
      <c r="N26" s="10" t="s">
        <v>1864</v>
      </c>
      <c r="O26" s="10" t="s">
        <v>1969</v>
      </c>
    </row>
    <row r="27">
      <c r="A27" s="10" t="s">
        <v>1970</v>
      </c>
      <c r="B27" s="13" t="s">
        <v>1971</v>
      </c>
      <c r="C27" s="9">
        <v>3.0</v>
      </c>
      <c r="D27" s="10">
        <v>2.0</v>
      </c>
      <c r="E27" s="10" t="s">
        <v>1853</v>
      </c>
      <c r="F27" s="10" t="s">
        <v>1574</v>
      </c>
      <c r="G27" s="10" t="s">
        <v>1868</v>
      </c>
      <c r="H27" s="10" t="s">
        <v>1574</v>
      </c>
      <c r="I27" s="10" t="s">
        <v>1862</v>
      </c>
      <c r="J27" s="237"/>
      <c r="K27" s="10"/>
      <c r="L27" s="10" t="s">
        <v>1972</v>
      </c>
      <c r="M27" s="10" t="s">
        <v>1973</v>
      </c>
      <c r="N27" s="10" t="s">
        <v>1870</v>
      </c>
      <c r="O27" s="10" t="s">
        <v>1974</v>
      </c>
    </row>
    <row r="28">
      <c r="A28" s="10" t="s">
        <v>1975</v>
      </c>
      <c r="B28" s="16" t="s">
        <v>1976</v>
      </c>
      <c r="C28" s="9">
        <v>3.0</v>
      </c>
      <c r="D28" s="10">
        <v>2.0</v>
      </c>
      <c r="E28" s="10" t="s">
        <v>1853</v>
      </c>
      <c r="F28" s="10" t="s">
        <v>1574</v>
      </c>
      <c r="G28" s="10" t="s">
        <v>1868</v>
      </c>
      <c r="H28" s="10" t="s">
        <v>1574</v>
      </c>
      <c r="I28" s="10" t="s">
        <v>1855</v>
      </c>
      <c r="J28" s="237"/>
      <c r="K28" s="10"/>
      <c r="L28" s="15"/>
      <c r="M28" s="10" t="s">
        <v>1977</v>
      </c>
      <c r="N28" s="10" t="s">
        <v>1857</v>
      </c>
      <c r="O28" s="10" t="s">
        <v>1978</v>
      </c>
    </row>
    <row r="29">
      <c r="A29" s="10" t="s">
        <v>1979</v>
      </c>
      <c r="B29" s="16" t="s">
        <v>1980</v>
      </c>
      <c r="C29" s="9">
        <v>3.0</v>
      </c>
      <c r="D29" s="10">
        <v>4.0</v>
      </c>
      <c r="E29" s="10" t="s">
        <v>1853</v>
      </c>
      <c r="F29" s="10" t="s">
        <v>1574</v>
      </c>
      <c r="G29" s="10" t="s">
        <v>1868</v>
      </c>
      <c r="H29" s="10" t="s">
        <v>1574</v>
      </c>
      <c r="I29" s="10" t="s">
        <v>1862</v>
      </c>
      <c r="J29" s="237"/>
      <c r="K29" s="10"/>
      <c r="L29" s="10" t="s">
        <v>1981</v>
      </c>
      <c r="M29" s="10" t="s">
        <v>1982</v>
      </c>
      <c r="N29" s="10" t="s">
        <v>1857</v>
      </c>
      <c r="O29" s="10" t="s">
        <v>1983</v>
      </c>
    </row>
    <row r="30">
      <c r="A30" s="10" t="s">
        <v>1984</v>
      </c>
      <c r="B30" s="16" t="s">
        <v>1985</v>
      </c>
      <c r="C30" s="10">
        <v>3.0</v>
      </c>
      <c r="D30" s="10">
        <v>4.0</v>
      </c>
      <c r="E30" s="10" t="s">
        <v>1861</v>
      </c>
      <c r="F30" s="10" t="s">
        <v>433</v>
      </c>
      <c r="G30" s="10" t="s">
        <v>1854</v>
      </c>
      <c r="H30" s="10" t="s">
        <v>433</v>
      </c>
      <c r="I30" s="10" t="s">
        <v>1862</v>
      </c>
      <c r="J30" s="237" t="s">
        <v>1986</v>
      </c>
      <c r="K30" s="10">
        <v>4.0</v>
      </c>
      <c r="L30" s="15"/>
      <c r="M30" s="10" t="s">
        <v>1863</v>
      </c>
      <c r="N30" s="10" t="s">
        <v>1849</v>
      </c>
      <c r="O30" s="10" t="s">
        <v>1987</v>
      </c>
    </row>
    <row r="31">
      <c r="A31" s="9" t="s">
        <v>1988</v>
      </c>
      <c r="B31" s="13" t="s">
        <v>1989</v>
      </c>
      <c r="C31" s="10">
        <v>3.0</v>
      </c>
      <c r="D31" s="10">
        <v>4.0</v>
      </c>
      <c r="E31" s="10" t="s">
        <v>1853</v>
      </c>
      <c r="F31" s="10" t="s">
        <v>1574</v>
      </c>
      <c r="G31" s="10" t="s">
        <v>1854</v>
      </c>
      <c r="H31" s="10"/>
      <c r="I31" s="10"/>
      <c r="J31" s="237">
        <v>3.2</v>
      </c>
      <c r="K31" s="10">
        <v>2.0</v>
      </c>
      <c r="L31" s="15"/>
      <c r="M31" s="10" t="s">
        <v>1990</v>
      </c>
      <c r="N31" s="10" t="s">
        <v>1857</v>
      </c>
      <c r="O31" s="10" t="s">
        <v>1991</v>
      </c>
    </row>
    <row r="32">
      <c r="A32" s="10" t="s">
        <v>1992</v>
      </c>
      <c r="B32" s="13" t="s">
        <v>1993</v>
      </c>
      <c r="C32" s="10">
        <v>3.0</v>
      </c>
      <c r="D32" s="10">
        <v>4.0</v>
      </c>
      <c r="E32" s="10" t="s">
        <v>1853</v>
      </c>
      <c r="F32" s="9" t="s">
        <v>1574</v>
      </c>
      <c r="G32" s="10" t="s">
        <v>1854</v>
      </c>
      <c r="H32" s="10" t="s">
        <v>433</v>
      </c>
      <c r="I32" s="10" t="s">
        <v>1862</v>
      </c>
      <c r="J32" s="237">
        <v>0.04</v>
      </c>
      <c r="K32" s="10">
        <v>2.0</v>
      </c>
      <c r="L32" s="15"/>
      <c r="M32" s="10" t="s">
        <v>1994</v>
      </c>
      <c r="N32" s="10" t="s">
        <v>1857</v>
      </c>
      <c r="O32" s="10" t="s">
        <v>1995</v>
      </c>
    </row>
    <row r="33">
      <c r="A33" s="10" t="s">
        <v>1996</v>
      </c>
      <c r="B33" s="13" t="s">
        <v>1997</v>
      </c>
      <c r="C33" s="10">
        <v>3.0</v>
      </c>
      <c r="D33" s="10">
        <v>4.0</v>
      </c>
      <c r="E33" s="10" t="s">
        <v>1853</v>
      </c>
      <c r="F33" s="10" t="s">
        <v>1574</v>
      </c>
      <c r="G33" s="10" t="s">
        <v>1854</v>
      </c>
      <c r="H33" s="10" t="s">
        <v>1574</v>
      </c>
      <c r="I33" s="10" t="s">
        <v>1855</v>
      </c>
      <c r="J33" s="237"/>
      <c r="K33" s="10">
        <v>3.0</v>
      </c>
      <c r="L33" s="15"/>
      <c r="M33" s="10" t="s">
        <v>1998</v>
      </c>
      <c r="N33" s="10" t="s">
        <v>1857</v>
      </c>
      <c r="O33" s="10" t="s">
        <v>1999</v>
      </c>
    </row>
    <row r="34">
      <c r="A34" s="9" t="s">
        <v>2000</v>
      </c>
      <c r="B34" s="23" t="s">
        <v>2001</v>
      </c>
      <c r="C34" s="9">
        <v>3.0</v>
      </c>
      <c r="D34" s="9">
        <v>2.0</v>
      </c>
      <c r="E34" s="9" t="s">
        <v>1853</v>
      </c>
      <c r="F34" s="9" t="s">
        <v>1574</v>
      </c>
      <c r="G34" s="9" t="s">
        <v>1854</v>
      </c>
      <c r="H34" s="10"/>
      <c r="I34" s="10"/>
      <c r="J34" s="239"/>
      <c r="K34" s="9">
        <v>4.0</v>
      </c>
      <c r="L34" s="9"/>
      <c r="M34" s="9" t="s">
        <v>1917</v>
      </c>
      <c r="N34" s="9" t="s">
        <v>1857</v>
      </c>
      <c r="O34" s="9" t="s">
        <v>2002</v>
      </c>
    </row>
    <row r="35">
      <c r="A35" s="9" t="s">
        <v>2003</v>
      </c>
      <c r="B35" s="23" t="s">
        <v>2004</v>
      </c>
      <c r="C35" s="9">
        <v>3.0</v>
      </c>
      <c r="D35" s="9">
        <v>3.0</v>
      </c>
      <c r="E35" s="9" t="s">
        <v>1853</v>
      </c>
      <c r="F35" s="9" t="s">
        <v>1574</v>
      </c>
      <c r="G35" s="9" t="s">
        <v>1854</v>
      </c>
      <c r="H35" s="10"/>
      <c r="I35" s="10"/>
      <c r="J35" s="239"/>
      <c r="K35" s="9">
        <v>4.0</v>
      </c>
      <c r="L35" s="9"/>
      <c r="M35" s="9" t="s">
        <v>2005</v>
      </c>
      <c r="N35" s="9" t="s">
        <v>1857</v>
      </c>
      <c r="O35" s="9" t="s">
        <v>2006</v>
      </c>
    </row>
    <row r="36">
      <c r="A36" s="9" t="s">
        <v>2007</v>
      </c>
      <c r="B36" s="30" t="s">
        <v>2008</v>
      </c>
      <c r="C36" s="9">
        <v>3.0</v>
      </c>
      <c r="D36" s="9">
        <v>3.0</v>
      </c>
      <c r="E36" s="9" t="s">
        <v>1853</v>
      </c>
      <c r="F36" s="9" t="s">
        <v>1574</v>
      </c>
      <c r="G36" s="9" t="s">
        <v>1854</v>
      </c>
      <c r="H36" s="10"/>
      <c r="I36" s="10"/>
      <c r="J36" s="237"/>
      <c r="K36" s="9">
        <v>4.0</v>
      </c>
      <c r="L36" s="15"/>
      <c r="M36" s="9" t="s">
        <v>1947</v>
      </c>
      <c r="N36" s="9" t="s">
        <v>1857</v>
      </c>
      <c r="O36" s="9" t="s">
        <v>2009</v>
      </c>
    </row>
    <row r="37">
      <c r="A37" s="10" t="s">
        <v>2010</v>
      </c>
      <c r="B37" s="23" t="s">
        <v>2011</v>
      </c>
      <c r="C37" s="9">
        <v>3.0</v>
      </c>
      <c r="D37" s="241">
        <v>44231.0</v>
      </c>
      <c r="E37" s="9" t="s">
        <v>1853</v>
      </c>
      <c r="F37" s="9" t="s">
        <v>1574</v>
      </c>
      <c r="G37" s="10" t="s">
        <v>1854</v>
      </c>
      <c r="H37" s="10"/>
      <c r="I37" s="10"/>
      <c r="J37" s="239" t="s">
        <v>2012</v>
      </c>
      <c r="K37" s="9">
        <v>4.0</v>
      </c>
      <c r="L37" s="9" t="s">
        <v>2013</v>
      </c>
      <c r="M37" s="9" t="s">
        <v>2014</v>
      </c>
      <c r="N37" s="9" t="s">
        <v>1857</v>
      </c>
      <c r="O37" s="9" t="s">
        <v>2015</v>
      </c>
    </row>
    <row r="38">
      <c r="A38" s="10" t="s">
        <v>2016</v>
      </c>
      <c r="B38" s="23" t="s">
        <v>2017</v>
      </c>
      <c r="C38" s="10">
        <v>3.0</v>
      </c>
      <c r="D38" s="10">
        <v>3.0</v>
      </c>
      <c r="E38" s="10" t="s">
        <v>1861</v>
      </c>
      <c r="F38" s="10" t="s">
        <v>1574</v>
      </c>
      <c r="G38" s="10" t="s">
        <v>1854</v>
      </c>
      <c r="H38" s="10" t="s">
        <v>1574</v>
      </c>
      <c r="I38" s="10" t="s">
        <v>1862</v>
      </c>
      <c r="J38" s="237"/>
      <c r="K38" s="10">
        <v>4.0</v>
      </c>
      <c r="L38" s="15"/>
      <c r="M38" s="10" t="s">
        <v>2018</v>
      </c>
      <c r="N38" s="10" t="s">
        <v>1857</v>
      </c>
      <c r="O38" s="10" t="s">
        <v>2019</v>
      </c>
    </row>
    <row r="39">
      <c r="A39" s="10" t="s">
        <v>2020</v>
      </c>
      <c r="B39" s="16" t="s">
        <v>2021</v>
      </c>
      <c r="C39" s="10">
        <v>3.0</v>
      </c>
      <c r="D39" s="15"/>
      <c r="E39" s="10" t="s">
        <v>1861</v>
      </c>
      <c r="F39" s="10" t="s">
        <v>1574</v>
      </c>
      <c r="G39" s="10" t="s">
        <v>1854</v>
      </c>
      <c r="H39" s="10" t="s">
        <v>1574</v>
      </c>
      <c r="I39" s="10" t="s">
        <v>1862</v>
      </c>
      <c r="J39" s="237"/>
      <c r="K39" s="10">
        <v>4.0</v>
      </c>
      <c r="L39" s="15"/>
      <c r="M39" s="10" t="s">
        <v>2022</v>
      </c>
      <c r="N39" s="10" t="s">
        <v>1857</v>
      </c>
      <c r="O39" s="10" t="s">
        <v>2023</v>
      </c>
    </row>
    <row r="40">
      <c r="A40" s="10" t="s">
        <v>2024</v>
      </c>
      <c r="B40" s="15"/>
      <c r="C40" s="10">
        <v>2.0</v>
      </c>
      <c r="D40" s="10">
        <v>2.0</v>
      </c>
      <c r="E40" s="10" t="s">
        <v>1853</v>
      </c>
      <c r="F40" s="10" t="s">
        <v>1574</v>
      </c>
      <c r="G40" s="10" t="s">
        <v>1854</v>
      </c>
      <c r="H40" s="10" t="s">
        <v>1574</v>
      </c>
      <c r="I40" s="15"/>
      <c r="J40" s="237">
        <v>0.004</v>
      </c>
      <c r="K40" s="10">
        <v>3.0</v>
      </c>
      <c r="L40" s="15"/>
      <c r="M40" s="10" t="s">
        <v>2025</v>
      </c>
      <c r="N40" s="10" t="s">
        <v>1870</v>
      </c>
      <c r="O40" s="10" t="s">
        <v>2026</v>
      </c>
    </row>
    <row r="41">
      <c r="A41" s="10" t="s">
        <v>2027</v>
      </c>
      <c r="B41" s="13" t="s">
        <v>2028</v>
      </c>
      <c r="C41" s="10">
        <v>2.0</v>
      </c>
      <c r="D41" s="10">
        <v>2.0</v>
      </c>
      <c r="E41" s="10" t="s">
        <v>1853</v>
      </c>
      <c r="F41" s="10" t="s">
        <v>1574</v>
      </c>
      <c r="G41" s="10" t="s">
        <v>1854</v>
      </c>
      <c r="H41" s="10"/>
      <c r="I41" s="10"/>
      <c r="J41" s="237">
        <v>3.2</v>
      </c>
      <c r="K41" s="10">
        <v>4.0</v>
      </c>
      <c r="L41" s="15"/>
      <c r="M41" s="10" t="s">
        <v>1998</v>
      </c>
      <c r="N41" s="10" t="s">
        <v>1857</v>
      </c>
      <c r="O41" s="10" t="s">
        <v>2029</v>
      </c>
    </row>
    <row r="42">
      <c r="A42" s="10" t="s">
        <v>2030</v>
      </c>
      <c r="B42" s="13" t="s">
        <v>2031</v>
      </c>
      <c r="C42" s="10">
        <v>2.0</v>
      </c>
      <c r="D42" s="10">
        <v>3.0</v>
      </c>
      <c r="E42" s="10" t="s">
        <v>1853</v>
      </c>
      <c r="F42" s="10" t="s">
        <v>1574</v>
      </c>
      <c r="G42" s="10" t="s">
        <v>1854</v>
      </c>
      <c r="H42" s="10" t="s">
        <v>433</v>
      </c>
      <c r="I42" s="10" t="s">
        <v>1862</v>
      </c>
      <c r="J42" s="237"/>
      <c r="K42" s="10">
        <v>5.0</v>
      </c>
      <c r="L42" s="15"/>
      <c r="M42" s="10" t="s">
        <v>2032</v>
      </c>
      <c r="N42" s="10" t="s">
        <v>1857</v>
      </c>
      <c r="O42" s="10" t="s">
        <v>2033</v>
      </c>
    </row>
    <row r="43">
      <c r="A43" s="10" t="s">
        <v>2034</v>
      </c>
      <c r="B43" s="16" t="s">
        <v>2035</v>
      </c>
      <c r="C43" s="10">
        <v>2.0</v>
      </c>
      <c r="D43" s="10">
        <v>2.0</v>
      </c>
      <c r="E43" s="10" t="s">
        <v>1861</v>
      </c>
      <c r="F43" s="10" t="s">
        <v>1574</v>
      </c>
      <c r="G43" s="10" t="s">
        <v>1854</v>
      </c>
      <c r="H43" s="10"/>
      <c r="I43" s="10"/>
      <c r="J43" s="237"/>
      <c r="K43" s="236">
        <v>43894.0</v>
      </c>
      <c r="L43" s="15"/>
      <c r="M43" s="10" t="s">
        <v>1876</v>
      </c>
      <c r="N43" s="10" t="s">
        <v>1857</v>
      </c>
      <c r="O43" s="10" t="s">
        <v>2036</v>
      </c>
    </row>
    <row r="44">
      <c r="A44" s="10" t="s">
        <v>2037</v>
      </c>
      <c r="B44" s="13" t="s">
        <v>2038</v>
      </c>
      <c r="C44" s="10"/>
      <c r="D44" s="10" t="s">
        <v>1959</v>
      </c>
      <c r="E44" s="10" t="s">
        <v>1861</v>
      </c>
      <c r="F44" s="10" t="s">
        <v>433</v>
      </c>
      <c r="G44" s="10" t="s">
        <v>1868</v>
      </c>
      <c r="H44" s="10" t="s">
        <v>433</v>
      </c>
      <c r="I44" s="10" t="s">
        <v>1855</v>
      </c>
      <c r="J44" s="237"/>
      <c r="K44" s="10"/>
      <c r="L44" s="10" t="s">
        <v>1960</v>
      </c>
      <c r="M44" s="10" t="s">
        <v>1863</v>
      </c>
      <c r="N44" s="10" t="s">
        <v>1898</v>
      </c>
      <c r="O44" s="15"/>
    </row>
    <row r="45">
      <c r="A45" s="10" t="s">
        <v>2039</v>
      </c>
      <c r="B45" s="16" t="s">
        <v>2040</v>
      </c>
      <c r="C45" s="10"/>
      <c r="D45" s="10">
        <v>4.0</v>
      </c>
      <c r="E45" s="10" t="s">
        <v>1853</v>
      </c>
      <c r="F45" s="10" t="s">
        <v>1574</v>
      </c>
      <c r="G45" s="10" t="s">
        <v>1868</v>
      </c>
      <c r="H45" s="10" t="s">
        <v>1574</v>
      </c>
      <c r="I45" s="10" t="s">
        <v>1862</v>
      </c>
      <c r="J45" s="237"/>
      <c r="K45" s="10"/>
      <c r="L45" s="10" t="s">
        <v>2041</v>
      </c>
      <c r="M45" s="10" t="s">
        <v>2042</v>
      </c>
      <c r="N45" s="10" t="s">
        <v>1864</v>
      </c>
      <c r="O45" s="10" t="s">
        <v>2043</v>
      </c>
    </row>
    <row r="46">
      <c r="A46" s="10" t="s">
        <v>2044</v>
      </c>
      <c r="B46" s="15"/>
      <c r="C46" s="15"/>
      <c r="D46" s="15"/>
      <c r="E46" s="10" t="s">
        <v>1853</v>
      </c>
      <c r="F46" s="10" t="s">
        <v>1574</v>
      </c>
      <c r="G46" s="10" t="s">
        <v>1854</v>
      </c>
      <c r="H46" s="10" t="s">
        <v>1574</v>
      </c>
      <c r="I46" s="10" t="s">
        <v>1862</v>
      </c>
      <c r="J46" s="237"/>
      <c r="K46" s="15"/>
      <c r="L46" s="15"/>
      <c r="M46" s="15"/>
      <c r="N46" s="15"/>
      <c r="O46" s="10" t="s">
        <v>2045</v>
      </c>
    </row>
    <row r="47">
      <c r="A47" s="10"/>
      <c r="B47" s="20"/>
      <c r="C47" s="236"/>
      <c r="D47" s="10"/>
      <c r="E47" s="10"/>
      <c r="F47" s="10"/>
      <c r="G47" s="10"/>
      <c r="H47" s="10"/>
      <c r="I47" s="10"/>
      <c r="J47" s="237"/>
      <c r="K47" s="236"/>
      <c r="L47" s="15"/>
      <c r="M47" s="10"/>
      <c r="N47" s="10"/>
      <c r="O47" s="10"/>
    </row>
  </sheetData>
  <dataValidations>
    <dataValidation type="list" allowBlank="1" showErrorMessage="1" sqref="N1:N47">
      <formula1>"$,$$,$$$,$$$$,$$$$$"</formula1>
    </dataValidation>
  </dataValidations>
  <hyperlinks>
    <hyperlink r:id="rId2" location=":~:text=An%20acetoxy%20silicone%20is%20a,non%2Dacidic%20substance%20whilst%20curing." ref="B2"/>
    <hyperlink r:id="rId3" ref="B3"/>
    <hyperlink r:id="rId4" ref="B4"/>
    <hyperlink r:id="rId5" ref="B5"/>
    <hyperlink r:id="rId6" ref="B6"/>
    <hyperlink r:id="rId7" location="zircon-divider-diffusion"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1"/>
    <hyperlink r:id="rId41" ref="B42"/>
    <hyperlink r:id="rId42" ref="B43"/>
    <hyperlink r:id="rId43" ref="B44"/>
    <hyperlink r:id="rId44" ref="B45"/>
  </hyperlinks>
  <printOptions gridLines="1" horizontalCentered="1"/>
  <pageMargins bottom="0.75" footer="0.0" header="0.0" left="0.7" right="0.7" top="0.75"/>
  <pageSetup fitToHeight="0" cellComments="atEnd" orientation="landscape" pageOrder="overThenDown"/>
  <drawing r:id="rId45"/>
  <legacyDrawing r:id="rId46"/>
  <tableParts count="1">
    <tablePart r:id="rId48"/>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19.75"/>
    <col customWidth="1" min="3" max="3" width="13.63"/>
    <col customWidth="1" min="4" max="4" width="17.5"/>
    <col customWidth="1" min="5" max="5" width="8.75"/>
    <col customWidth="1" min="6" max="6" width="14.25"/>
    <col customWidth="1" min="7" max="7" width="17.25"/>
    <col customWidth="1" min="8" max="8" width="11.63"/>
    <col customWidth="1" min="9" max="9" width="16.25"/>
    <col customWidth="1" min="10" max="10" width="8.5"/>
    <col customWidth="1" min="11" max="11" width="11.75"/>
    <col customWidth="1" min="12" max="12" width="112.88"/>
  </cols>
  <sheetData>
    <row r="1">
      <c r="A1" s="210" t="s">
        <v>2046</v>
      </c>
      <c r="B1" s="210" t="s">
        <v>345</v>
      </c>
      <c r="C1" s="210" t="s">
        <v>2047</v>
      </c>
      <c r="D1" s="210" t="s">
        <v>2048</v>
      </c>
      <c r="E1" s="243" t="s">
        <v>2049</v>
      </c>
      <c r="F1" s="210" t="s">
        <v>2050</v>
      </c>
      <c r="G1" s="210" t="s">
        <v>2051</v>
      </c>
      <c r="H1" s="210" t="s">
        <v>2052</v>
      </c>
      <c r="I1" s="210" t="s">
        <v>2053</v>
      </c>
      <c r="J1" s="210" t="s">
        <v>2054</v>
      </c>
      <c r="K1" s="210" t="s">
        <v>2055</v>
      </c>
      <c r="L1" s="210" t="s">
        <v>835</v>
      </c>
    </row>
    <row r="2">
      <c r="A2" s="9" t="s">
        <v>2056</v>
      </c>
      <c r="B2" s="23" t="s">
        <v>2057</v>
      </c>
      <c r="C2" s="9">
        <v>170.0</v>
      </c>
      <c r="D2" s="9" t="s">
        <v>2058</v>
      </c>
      <c r="E2" s="1" t="s">
        <v>433</v>
      </c>
      <c r="F2" s="9" t="s">
        <v>2059</v>
      </c>
      <c r="G2" s="9"/>
      <c r="H2" s="9" t="s">
        <v>2060</v>
      </c>
      <c r="I2" s="9"/>
      <c r="J2" s="9">
        <v>2004.0</v>
      </c>
      <c r="K2" s="9"/>
      <c r="L2" s="9" t="s">
        <v>2061</v>
      </c>
    </row>
    <row r="3">
      <c r="A3" s="9" t="s">
        <v>2062</v>
      </c>
      <c r="B3" s="13" t="s">
        <v>2063</v>
      </c>
      <c r="C3" s="9">
        <v>170.0</v>
      </c>
      <c r="D3" s="15"/>
      <c r="E3" s="9" t="s">
        <v>433</v>
      </c>
      <c r="F3" s="9" t="s">
        <v>961</v>
      </c>
      <c r="G3" s="20"/>
      <c r="H3" s="9" t="s">
        <v>2060</v>
      </c>
      <c r="I3" s="9" t="s">
        <v>2064</v>
      </c>
      <c r="J3" s="9"/>
      <c r="K3" s="9" t="s">
        <v>2065</v>
      </c>
      <c r="L3" s="9" t="s">
        <v>2066</v>
      </c>
    </row>
    <row r="4">
      <c r="A4" s="9" t="s">
        <v>2067</v>
      </c>
      <c r="B4" s="23" t="s">
        <v>2068</v>
      </c>
      <c r="C4" s="9"/>
      <c r="D4" s="15"/>
      <c r="E4" s="9" t="s">
        <v>433</v>
      </c>
      <c r="F4" s="9" t="s">
        <v>2069</v>
      </c>
      <c r="G4" s="20"/>
      <c r="H4" s="9" t="s">
        <v>2060</v>
      </c>
      <c r="I4" s="9" t="s">
        <v>554</v>
      </c>
      <c r="J4" s="9"/>
      <c r="K4" s="9"/>
      <c r="L4" s="9" t="s">
        <v>2070</v>
      </c>
    </row>
    <row r="5">
      <c r="A5" s="9" t="s">
        <v>2071</v>
      </c>
      <c r="B5" s="23" t="s">
        <v>2072</v>
      </c>
      <c r="C5" s="9">
        <v>128.0</v>
      </c>
      <c r="D5" s="15"/>
      <c r="E5" s="9" t="s">
        <v>433</v>
      </c>
      <c r="F5" s="9" t="s">
        <v>961</v>
      </c>
      <c r="G5" s="9"/>
      <c r="H5" s="9" t="s">
        <v>2060</v>
      </c>
      <c r="I5" s="9" t="s">
        <v>554</v>
      </c>
      <c r="J5" s="9"/>
      <c r="K5" s="9" t="s">
        <v>2073</v>
      </c>
      <c r="L5" s="9" t="s">
        <v>2074</v>
      </c>
    </row>
    <row r="6">
      <c r="A6" s="9" t="s">
        <v>2075</v>
      </c>
      <c r="B6" s="23" t="s">
        <v>2076</v>
      </c>
      <c r="C6" s="9">
        <v>3072.0</v>
      </c>
      <c r="D6" s="15"/>
      <c r="E6" s="9" t="s">
        <v>433</v>
      </c>
      <c r="F6" s="9" t="s">
        <v>961</v>
      </c>
      <c r="G6" s="20"/>
      <c r="H6" s="9" t="s">
        <v>2060</v>
      </c>
      <c r="I6" s="9"/>
      <c r="J6" s="9">
        <v>2001.0</v>
      </c>
      <c r="K6" s="9"/>
      <c r="L6" s="9" t="s">
        <v>2077</v>
      </c>
    </row>
    <row r="7">
      <c r="A7" s="9" t="s">
        <v>2078</v>
      </c>
      <c r="B7" s="23" t="s">
        <v>2079</v>
      </c>
      <c r="C7" s="9">
        <v>100.0</v>
      </c>
      <c r="D7" s="15"/>
      <c r="E7" s="9" t="s">
        <v>433</v>
      </c>
      <c r="F7" s="9" t="s">
        <v>840</v>
      </c>
      <c r="G7" s="20"/>
      <c r="H7" s="9" t="s">
        <v>2060</v>
      </c>
      <c r="I7" s="9"/>
      <c r="J7" s="9"/>
      <c r="K7" s="9"/>
      <c r="L7" s="9" t="s">
        <v>2080</v>
      </c>
    </row>
    <row r="8">
      <c r="A8" s="9" t="s">
        <v>2081</v>
      </c>
      <c r="B8" s="23" t="s">
        <v>2082</v>
      </c>
      <c r="C8" s="9">
        <v>170.0</v>
      </c>
      <c r="D8" s="15"/>
      <c r="E8" s="9" t="s">
        <v>433</v>
      </c>
      <c r="F8" s="9" t="s">
        <v>840</v>
      </c>
      <c r="G8" s="9"/>
      <c r="H8" s="9" t="s">
        <v>1898</v>
      </c>
      <c r="I8" s="9"/>
      <c r="J8" s="9"/>
      <c r="K8" s="9"/>
      <c r="L8" s="9" t="s">
        <v>2083</v>
      </c>
    </row>
    <row r="9">
      <c r="A9" s="9" t="s">
        <v>2084</v>
      </c>
      <c r="B9" s="23" t="s">
        <v>2085</v>
      </c>
      <c r="C9" s="9">
        <v>56.0</v>
      </c>
      <c r="D9" s="15"/>
      <c r="E9" s="9" t="s">
        <v>433</v>
      </c>
      <c r="F9" s="9" t="s">
        <v>840</v>
      </c>
      <c r="G9" s="20" t="s">
        <v>2086</v>
      </c>
      <c r="H9" s="9" t="s">
        <v>1898</v>
      </c>
      <c r="I9" s="22"/>
      <c r="J9" s="22"/>
      <c r="K9" s="22"/>
      <c r="L9" s="22" t="s">
        <v>2087</v>
      </c>
    </row>
    <row r="10">
      <c r="A10" s="9" t="s">
        <v>2088</v>
      </c>
      <c r="B10" s="13" t="s">
        <v>2088</v>
      </c>
      <c r="C10" s="9"/>
      <c r="D10" s="15"/>
      <c r="E10" s="9" t="s">
        <v>433</v>
      </c>
      <c r="F10" s="9" t="s">
        <v>2050</v>
      </c>
      <c r="G10" s="13" t="s">
        <v>2089</v>
      </c>
      <c r="H10" s="9" t="s">
        <v>1898</v>
      </c>
      <c r="I10" s="22"/>
      <c r="J10" s="22"/>
      <c r="K10" s="22" t="s">
        <v>2090</v>
      </c>
      <c r="L10" s="13" t="s">
        <v>2091</v>
      </c>
    </row>
    <row r="11">
      <c r="A11" s="9" t="s">
        <v>2092</v>
      </c>
      <c r="B11" s="5" t="s">
        <v>2093</v>
      </c>
      <c r="C11" s="9">
        <v>128.0</v>
      </c>
      <c r="D11" s="15"/>
      <c r="E11" s="9" t="s">
        <v>433</v>
      </c>
      <c r="F11" s="9" t="s">
        <v>961</v>
      </c>
      <c r="G11" s="23" t="s">
        <v>2094</v>
      </c>
      <c r="H11" s="9" t="s">
        <v>1898</v>
      </c>
      <c r="I11" s="9"/>
      <c r="J11" s="9"/>
      <c r="K11" s="9"/>
      <c r="L11" s="9" t="s">
        <v>2095</v>
      </c>
    </row>
    <row r="12">
      <c r="A12" s="9" t="s">
        <v>2096</v>
      </c>
      <c r="B12" s="13" t="s">
        <v>2096</v>
      </c>
      <c r="C12" s="9">
        <v>1200.0</v>
      </c>
      <c r="D12" s="9"/>
      <c r="E12" s="9"/>
      <c r="F12" s="9" t="s">
        <v>840</v>
      </c>
      <c r="G12" s="20"/>
      <c r="H12" s="9" t="s">
        <v>1898</v>
      </c>
      <c r="I12" s="9"/>
      <c r="J12" s="9"/>
      <c r="K12" s="9" t="s">
        <v>2097</v>
      </c>
      <c r="L12" s="9" t="s">
        <v>2098</v>
      </c>
    </row>
    <row r="13">
      <c r="A13" s="9" t="s">
        <v>2099</v>
      </c>
      <c r="B13" s="13" t="s">
        <v>2100</v>
      </c>
      <c r="C13" s="15"/>
      <c r="D13" s="9" t="s">
        <v>2101</v>
      </c>
      <c r="E13" s="9" t="s">
        <v>433</v>
      </c>
      <c r="F13" s="9" t="s">
        <v>840</v>
      </c>
      <c r="G13" s="13" t="s">
        <v>2102</v>
      </c>
      <c r="H13" s="9" t="s">
        <v>1849</v>
      </c>
      <c r="I13" s="9" t="s">
        <v>2103</v>
      </c>
      <c r="J13" s="9"/>
      <c r="K13" s="9"/>
      <c r="L13" s="9" t="s">
        <v>2104</v>
      </c>
    </row>
    <row r="14">
      <c r="A14" s="9" t="s">
        <v>2105</v>
      </c>
      <c r="B14" s="9" t="s">
        <v>2105</v>
      </c>
      <c r="C14" s="9">
        <v>1360.0</v>
      </c>
      <c r="D14" s="9" t="s">
        <v>2106</v>
      </c>
      <c r="E14" s="9" t="s">
        <v>433</v>
      </c>
      <c r="F14" s="9" t="s">
        <v>2107</v>
      </c>
      <c r="G14" s="20"/>
      <c r="H14" s="9" t="s">
        <v>1849</v>
      </c>
      <c r="I14" s="9"/>
      <c r="J14" s="9"/>
      <c r="K14" s="9"/>
      <c r="L14" s="9" t="s">
        <v>2108</v>
      </c>
    </row>
    <row r="15">
      <c r="A15" s="9" t="s">
        <v>2109</v>
      </c>
      <c r="B15" s="23" t="s">
        <v>2110</v>
      </c>
      <c r="C15" s="9">
        <v>60.0</v>
      </c>
      <c r="D15" s="15"/>
      <c r="E15" s="9" t="s">
        <v>433</v>
      </c>
      <c r="F15" s="9" t="s">
        <v>2111</v>
      </c>
      <c r="G15" s="20"/>
      <c r="H15" s="9" t="s">
        <v>1864</v>
      </c>
      <c r="I15" s="22"/>
      <c r="J15" s="22"/>
      <c r="K15" s="22"/>
      <c r="L15" s="22" t="s">
        <v>2112</v>
      </c>
    </row>
    <row r="16">
      <c r="A16" s="9" t="s">
        <v>2113</v>
      </c>
      <c r="B16" s="23" t="s">
        <v>2114</v>
      </c>
      <c r="C16" s="9">
        <v>120.0</v>
      </c>
      <c r="D16" s="15"/>
      <c r="E16" s="9" t="s">
        <v>433</v>
      </c>
      <c r="F16" s="9" t="s">
        <v>840</v>
      </c>
      <c r="G16" s="20"/>
      <c r="H16" s="9" t="s">
        <v>1864</v>
      </c>
      <c r="I16" s="22"/>
      <c r="J16" s="22"/>
      <c r="K16" s="22"/>
      <c r="L16" s="22" t="s">
        <v>2115</v>
      </c>
    </row>
    <row r="17">
      <c r="A17" s="9" t="s">
        <v>1338</v>
      </c>
      <c r="B17" s="13" t="s">
        <v>1338</v>
      </c>
      <c r="C17" s="9">
        <v>600.0</v>
      </c>
      <c r="D17" s="15"/>
      <c r="E17" s="9" t="s">
        <v>433</v>
      </c>
      <c r="F17" s="9" t="s">
        <v>840</v>
      </c>
      <c r="G17" s="23" t="s">
        <v>2116</v>
      </c>
      <c r="H17" s="9" t="s">
        <v>1857</v>
      </c>
      <c r="I17" s="9"/>
      <c r="J17" s="9"/>
      <c r="K17" s="9"/>
      <c r="L17" s="9" t="s">
        <v>2117</v>
      </c>
    </row>
    <row r="18">
      <c r="A18" s="13" t="s">
        <v>2118</v>
      </c>
      <c r="B18" s="13" t="s">
        <v>752</v>
      </c>
      <c r="C18" s="9">
        <v>169.0</v>
      </c>
      <c r="D18" s="9" t="s">
        <v>2101</v>
      </c>
      <c r="E18" s="9" t="s">
        <v>433</v>
      </c>
      <c r="F18" s="9" t="s">
        <v>840</v>
      </c>
      <c r="G18" s="20" t="s">
        <v>2119</v>
      </c>
      <c r="H18" s="9"/>
      <c r="I18" s="9" t="s">
        <v>2120</v>
      </c>
      <c r="J18" s="9">
        <v>2024.0</v>
      </c>
      <c r="K18" s="9"/>
      <c r="L18" s="9" t="s">
        <v>2121</v>
      </c>
    </row>
    <row r="19">
      <c r="A19" s="13" t="s">
        <v>2122</v>
      </c>
      <c r="B19" s="13" t="s">
        <v>752</v>
      </c>
      <c r="C19" s="9">
        <v>169.0</v>
      </c>
      <c r="D19" s="9" t="s">
        <v>2101</v>
      </c>
      <c r="E19" s="9" t="s">
        <v>433</v>
      </c>
      <c r="F19" s="9" t="s">
        <v>961</v>
      </c>
      <c r="G19" s="20" t="s">
        <v>2123</v>
      </c>
      <c r="H19" s="9"/>
      <c r="I19" s="9" t="s">
        <v>2124</v>
      </c>
      <c r="J19" s="9"/>
      <c r="K19" s="9"/>
      <c r="L19" s="9" t="s">
        <v>2121</v>
      </c>
    </row>
    <row r="20">
      <c r="A20" s="9"/>
      <c r="B20" s="20"/>
      <c r="C20" s="9"/>
      <c r="D20" s="15"/>
      <c r="E20" s="9"/>
      <c r="F20" s="9"/>
      <c r="G20" s="20"/>
      <c r="H20" s="9"/>
      <c r="I20" s="9"/>
      <c r="J20" s="9"/>
      <c r="K20" s="9"/>
      <c r="L20" s="9"/>
    </row>
  </sheetData>
  <hyperlinks>
    <hyperlink r:id="rId4" ref="B2"/>
    <hyperlink r:id="rId5" ref="B3"/>
    <hyperlink r:id="rId6" ref="B4"/>
    <hyperlink r:id="rId7" ref="B5"/>
    <hyperlink r:id="rId8" ref="B6"/>
    <hyperlink r:id="rId9" ref="B7"/>
    <hyperlink r:id="rId10" ref="B8"/>
    <hyperlink r:id="rId11" ref="B9"/>
    <hyperlink r:id="rId12" ref="B10"/>
    <hyperlink r:id="rId13" ref="G10"/>
    <hyperlink r:id="rId14" ref="L10"/>
    <hyperlink r:id="rId15" ref="B11"/>
    <hyperlink r:id="rId16" ref="G11"/>
    <hyperlink r:id="rId17" ref="B12"/>
    <hyperlink r:id="rId18" ref="B13"/>
    <hyperlink r:id="rId19" ref="G13"/>
    <hyperlink r:id="rId20" ref="B15"/>
    <hyperlink r:id="rId21" ref="B16"/>
    <hyperlink r:id="rId22" ref="B17"/>
    <hyperlink r:id="rId23" ref="G17"/>
    <hyperlink r:id="rId24" ref="A18"/>
    <hyperlink r:id="rId25" ref="B18"/>
    <hyperlink r:id="rId26" ref="A19"/>
    <hyperlink r:id="rId27" ref="B19"/>
  </hyperlinks>
  <drawing r:id="rId28"/>
  <legacyDrawing r:id="rId29"/>
  <tableParts count="1">
    <tablePart r:id="rId31"/>
  </tableParts>
</worksheet>
</file>